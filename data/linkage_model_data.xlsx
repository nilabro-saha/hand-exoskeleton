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0848" windowHeight="9012" tabRatio="500"/>
  </bookViews>
  <sheets>
    <sheet name="Linkage data" sheetId="1" r:id="rId1"/>
    <sheet name="Index finger optimization" sheetId="2" r:id="rId2"/>
    <sheet name="MIddle finger optimization" sheetId="3" r:id="rId3"/>
    <sheet name="Little finger optimization" sheetId="4" r:id="rId4"/>
    <sheet name="Index finger results" sheetId="5" r:id="rId5"/>
    <sheet name="Middle finger results" sheetId="6" r:id="rId6"/>
    <sheet name="Little finger results" sheetId="7" r:id="rId7"/>
  </sheets>
  <calcPr calcId="144525"/>
</workbook>
</file>

<file path=xl/sharedStrings.xml><?xml version="1.0" encoding="utf-8"?>
<sst xmlns="http://schemas.openxmlformats.org/spreadsheetml/2006/main" count="156" uniqueCount="81">
  <si>
    <t>Sl. No.</t>
  </si>
  <si>
    <t>Parameter</t>
  </si>
  <si>
    <t>Index finger</t>
  </si>
  <si>
    <t>Middle finger</t>
  </si>
  <si>
    <t>Ring finger</t>
  </si>
  <si>
    <t>Little finger</t>
  </si>
  <si>
    <t>Thumb (k-plane)</t>
  </si>
  <si>
    <t>Param</t>
  </si>
  <si>
    <t>Thumb (p-plane)</t>
  </si>
  <si>
    <t>l_0,1</t>
  </si>
  <si>
    <t>l_1,2</t>
  </si>
  <si>
    <t>l_2,3</t>
  </si>
  <si>
    <t>l_3,0</t>
  </si>
  <si>
    <t>l_2,4</t>
  </si>
  <si>
    <t>l_3,4</t>
  </si>
  <si>
    <t>l_4,5</t>
  </si>
  <si>
    <t>l_M,0</t>
  </si>
  <si>
    <t>d_P5_k'</t>
  </si>
  <si>
    <t>l_5,6</t>
  </si>
  <si>
    <t>l_M,3</t>
  </si>
  <si>
    <t>h_0</t>
  </si>
  <si>
    <t>l_6,7</t>
  </si>
  <si>
    <t>h_3</t>
  </si>
  <si>
    <t>l_7,3</t>
  </si>
  <si>
    <t>l_6,8</t>
  </si>
  <si>
    <t>z_p</t>
  </si>
  <si>
    <t>l_8,M</t>
  </si>
  <si>
    <t>lk_5,8</t>
  </si>
  <si>
    <t>theta_M,0</t>
  </si>
  <si>
    <t>l_M,7</t>
  </si>
  <si>
    <t>l_M,S for thumb</t>
  </si>
  <si>
    <t>alpha4</t>
  </si>
  <si>
    <t>theta_M,3</t>
  </si>
  <si>
    <t>l_5,9</t>
  </si>
  <si>
    <t>alpha5</t>
  </si>
  <si>
    <t>l_9,10</t>
  </si>
  <si>
    <t>lk_M,P5</t>
  </si>
  <si>
    <t>l_9,11</t>
  </si>
  <si>
    <t>thetaM0</t>
  </si>
  <si>
    <t>lk_P,P5</t>
  </si>
  <si>
    <t>l_11,12</t>
  </si>
  <si>
    <t>thetaM3</t>
  </si>
  <si>
    <t>l_11,13</t>
  </si>
  <si>
    <t>lk_5,P</t>
  </si>
  <si>
    <t>l_MP</t>
  </si>
  <si>
    <t>l_PD</t>
  </si>
  <si>
    <t>l_DF</t>
  </si>
  <si>
    <t>l_8,10</t>
  </si>
  <si>
    <t>l_10,P</t>
  </si>
  <si>
    <t>l_P,12</t>
  </si>
  <si>
    <t>l_D,13</t>
  </si>
  <si>
    <t>l_D,12</t>
  </si>
  <si>
    <t>l_F,13</t>
  </si>
  <si>
    <t>h_7</t>
  </si>
  <si>
    <t>alpha1</t>
  </si>
  <si>
    <t>alpha2</t>
  </si>
  <si>
    <t>alpha3</t>
  </si>
  <si>
    <t>beta1</t>
  </si>
  <si>
    <t>theta_M,7</t>
  </si>
  <si>
    <t>theta_M,S for thumb</t>
  </si>
  <si>
    <t>l_7,S</t>
  </si>
  <si>
    <t>l_M,10</t>
  </si>
  <si>
    <t>l_P,8</t>
  </si>
  <si>
    <t>ẟl_1,2</t>
  </si>
  <si>
    <t>ẟl_6,8</t>
  </si>
  <si>
    <t>ẟl_5,9</t>
  </si>
  <si>
    <t>θ_1,f</t>
  </si>
  <si>
    <t>θ_0,i</t>
  </si>
  <si>
    <t>θ_0,f</t>
  </si>
  <si>
    <t>θ_0 range</t>
  </si>
  <si>
    <t>ẟl_4,5</t>
  </si>
  <si>
    <t>Before optimization</t>
  </si>
  <si>
    <t>After optimization</t>
  </si>
  <si>
    <t>Actuator disp</t>
  </si>
  <si>
    <t>Theta0</t>
  </si>
  <si>
    <t>Theta1</t>
  </si>
  <si>
    <t>Theta2</t>
  </si>
  <si>
    <t>Theta3</t>
  </si>
  <si>
    <t>45 deg deflection line</t>
  </si>
  <si>
    <t>x @ theta2 = 45 deg</t>
  </si>
  <si>
    <r>
      <rPr>
        <sz val="11"/>
        <color rgb="FF000000"/>
        <rFont val="Arial"/>
        <charset val="134"/>
      </rPr>
      <t>∂</t>
    </r>
    <r>
      <rPr>
        <sz val="11"/>
        <color rgb="FF000000"/>
        <rFont val="Calibri"/>
        <charset val="134"/>
      </rPr>
      <t>(theta1)/</t>
    </r>
    <r>
      <rPr>
        <sz val="11"/>
        <color rgb="FF000000"/>
        <rFont val="Arial"/>
        <charset val="134"/>
      </rPr>
      <t>∂</t>
    </r>
    <r>
      <rPr>
        <sz val="11"/>
        <color rgb="FF000000"/>
        <rFont val="Calibri"/>
        <charset val="134"/>
      </rPr>
      <t>x</t>
    </r>
  </si>
</sst>
</file>

<file path=xl/styles.xml><?xml version="1.0" encoding="utf-8"?>
<styleSheet xmlns="http://schemas.openxmlformats.org/spreadsheetml/2006/main">
  <numFmts count="6">
    <numFmt numFmtId="176" formatCode="_ &quot;₹&quot;\ * #,##0_ ;_ &quot;₹&quot;\ * \-#,##0_ ;_ &quot;₹&quot;\ * &quot;-&quot;_ ;_ @_ "/>
    <numFmt numFmtId="177" formatCode="_ * #,##0.00_ ;_ * \-#,##0.00_ ;_ * &quot;-&quot;??_ ;_ @_ "/>
    <numFmt numFmtId="178" formatCode="_ * #,##0_ ;_ * \-#,##0_ ;_ * &quot;-&quot;_ ;_ @_ "/>
    <numFmt numFmtId="179" formatCode="0.00_ "/>
    <numFmt numFmtId="180" formatCode="_ &quot;₹&quot;\ * #,##0.00_ ;_ &quot;₹&quot;\ * \-#,##0.00_ ;_ &quot;₹&quot;\ * &quot;-&quot;??_ ;_ @_ "/>
    <numFmt numFmtId="181" formatCode="0.0_ "/>
  </numFmts>
  <fonts count="27">
    <font>
      <sz val="11"/>
      <color rgb="FF000000"/>
      <name val="Calibri"/>
      <charset val="134"/>
    </font>
    <font>
      <sz val="11"/>
      <color rgb="FF000000"/>
      <name val="Arial"/>
      <charset val="134"/>
    </font>
    <font>
      <b/>
      <sz val="11"/>
      <color rgb="FF000000"/>
      <name val="Calibri"/>
      <charset val="134"/>
    </font>
    <font>
      <b/>
      <i/>
      <sz val="11"/>
      <color rgb="FF000000"/>
      <name val="Arial"/>
      <charset val="134"/>
    </font>
    <font>
      <sz val="11"/>
      <color rgb="FF000000"/>
      <name val="Times New Roman"/>
      <charset val="134"/>
    </font>
    <font>
      <b/>
      <sz val="11"/>
      <color rgb="FF000000"/>
      <name val="Arial"/>
      <charset val="134"/>
    </font>
    <font>
      <sz val="10"/>
      <name val="Arial"/>
      <charset val="134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DEDED"/>
        <bgColor rgb="FFF2F2F2"/>
      </patternFill>
    </fill>
    <fill>
      <patternFill patternType="solid">
        <fgColor theme="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9" fillId="6" borderId="0" applyNumberFormat="0" applyBorder="0" applyAlignment="0" applyProtection="0">
      <alignment vertical="center"/>
    </xf>
    <xf numFmtId="177" fontId="6" fillId="0" borderId="0" applyBorder="0" applyAlignment="0" applyProtection="0"/>
    <xf numFmtId="178" fontId="6" fillId="0" borderId="0" applyBorder="0" applyAlignment="0" applyProtection="0"/>
    <xf numFmtId="176" fontId="6" fillId="0" borderId="0" applyBorder="0" applyAlignment="0" applyProtection="0"/>
    <xf numFmtId="180" fontId="6" fillId="0" borderId="0" applyBorder="0" applyAlignment="0" applyProtection="0"/>
    <xf numFmtId="9" fontId="6" fillId="0" borderId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5" borderId="4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17" borderId="6" applyNumberFormat="0" applyFon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4" borderId="3" applyNumberForma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3" fillId="25" borderId="3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1" fillId="0" borderId="0" xfId="0" applyFont="1">
      <alignment vertical="center"/>
    </xf>
    <xf numFmtId="0" fontId="2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181" fontId="1" fillId="0" borderId="1" xfId="0" applyNumberFormat="1" applyFont="1" applyBorder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179" fontId="1" fillId="0" borderId="1" xfId="0" applyNumberFormat="1" applyFont="1" applyBorder="1">
      <alignment vertical="center"/>
    </xf>
    <xf numFmtId="0" fontId="0" fillId="0" borderId="0" xfId="0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0" fontId="1" fillId="0" borderId="2" xfId="0" applyFont="1" applyFill="1" applyBorder="1">
      <alignment vertical="center"/>
    </xf>
    <xf numFmtId="179" fontId="1" fillId="0" borderId="2" xfId="0" applyNumberFormat="1" applyFont="1" applyFill="1" applyBorder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5B9BD5"/>
      <rgbColor rgb="00993366"/>
      <rgbColor rgb="00EDEDED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BE5D6"/>
      <rgbColor rgb="004472C4"/>
      <rgbColor rgb="0033CCCC"/>
      <rgbColor rgb="0099CC00"/>
      <rgbColor rgb="00FFC000"/>
      <rgbColor rgb="00FF9900"/>
      <rgbColor rgb="00ED7D31"/>
      <rgbColor rgb="00595959"/>
      <rgbColor rgb="00A5A5A5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IN" sz="1400" b="0" i="0" u="none" strike="noStrike" kern="1200" spc="-1" baseline="0">
                <a:solidFill>
                  <a:srgbClr val="595959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lang="en-IN" sz="1400" b="0" strike="noStrike" spc="-1">
                <a:solidFill>
                  <a:srgbClr val="595959"/>
                </a:solidFill>
                <a:latin typeface="Calibri" panose="020F0502020204030204"/>
              </a:rPr>
              <a:t>Allowed angular deflections before length optimization</a:t>
            </a:r>
            <a:endParaRPr lang="en-IN" sz="1400" b="0" strike="noStrike" spc="-1">
              <a:solidFill>
                <a:srgbClr val="595959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scatterChart>
        <c:scatterStyle val="line"/>
        <c:varyColors val="0"/>
        <c:ser>
          <c:idx val="0"/>
          <c:order val="0"/>
          <c:tx>
            <c:strRef>
              <c:f>'Index finger results'!$B$2</c:f>
              <c:strCache>
                <c:ptCount val="1"/>
                <c:pt idx="0">
                  <c:v>Theta0</c:v>
                </c:pt>
              </c:strCache>
            </c:strRef>
          </c:tx>
          <c:spPr>
            <a:ln w="19080" cap="rnd" cmpd="sng" algn="ctr">
              <a:solidFill>
                <a:srgbClr val="5B9BD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xVal>
            <c:numRef>
              <c:f>'Index finger results'!$A$3:$A$102</c:f>
              <c:numCache>
                <c:formatCode>General</c:formatCode>
                <c:ptCount val="100"/>
                <c:pt idx="0">
                  <c:v>0</c:v>
                </c:pt>
                <c:pt idx="1">
                  <c:v>0.241849953016284</c:v>
                </c:pt>
                <c:pt idx="2">
                  <c:v>0.483699906032567</c:v>
                </c:pt>
                <c:pt idx="3">
                  <c:v>0.725549859048851</c:v>
                </c:pt>
                <c:pt idx="4">
                  <c:v>0.967399812065135</c:v>
                </c:pt>
                <c:pt idx="5">
                  <c:v>1.20924976508143</c:v>
                </c:pt>
                <c:pt idx="6">
                  <c:v>1.45109971809771</c:v>
                </c:pt>
                <c:pt idx="7">
                  <c:v>1.69294967111399</c:v>
                </c:pt>
                <c:pt idx="8">
                  <c:v>1.93479962413028</c:v>
                </c:pt>
                <c:pt idx="9">
                  <c:v>2.17664957714656</c:v>
                </c:pt>
                <c:pt idx="10">
                  <c:v>2.41849953016285</c:v>
                </c:pt>
                <c:pt idx="11">
                  <c:v>2.66034948317913</c:v>
                </c:pt>
                <c:pt idx="12">
                  <c:v>2.90219943619541</c:v>
                </c:pt>
                <c:pt idx="13">
                  <c:v>3.1440493892117</c:v>
                </c:pt>
                <c:pt idx="14">
                  <c:v>3.38589934222798</c:v>
                </c:pt>
                <c:pt idx="15">
                  <c:v>3.62774929524427</c:v>
                </c:pt>
                <c:pt idx="16">
                  <c:v>3.86959924826055</c:v>
                </c:pt>
                <c:pt idx="17">
                  <c:v>4.11144920127684</c:v>
                </c:pt>
                <c:pt idx="18">
                  <c:v>4.35329915429312</c:v>
                </c:pt>
                <c:pt idx="19">
                  <c:v>4.59514910730941</c:v>
                </c:pt>
                <c:pt idx="20">
                  <c:v>4.83699906032569</c:v>
                </c:pt>
                <c:pt idx="21">
                  <c:v>5.07884901334198</c:v>
                </c:pt>
                <c:pt idx="22">
                  <c:v>5.32069896635826</c:v>
                </c:pt>
                <c:pt idx="23">
                  <c:v>5.56254891937455</c:v>
                </c:pt>
                <c:pt idx="24">
                  <c:v>5.80439887239083</c:v>
                </c:pt>
                <c:pt idx="25">
                  <c:v>6.04624882540712</c:v>
                </c:pt>
                <c:pt idx="26">
                  <c:v>6.2880987784234</c:v>
                </c:pt>
                <c:pt idx="27">
                  <c:v>6.52994873143968</c:v>
                </c:pt>
                <c:pt idx="28">
                  <c:v>6.77179868445597</c:v>
                </c:pt>
                <c:pt idx="29">
                  <c:v>7.01364863747226</c:v>
                </c:pt>
                <c:pt idx="30">
                  <c:v>7.25549859048854</c:v>
                </c:pt>
                <c:pt idx="31">
                  <c:v>7.49734854350482</c:v>
                </c:pt>
                <c:pt idx="32">
                  <c:v>7.73919849652111</c:v>
                </c:pt>
                <c:pt idx="33">
                  <c:v>7.98104844953739</c:v>
                </c:pt>
                <c:pt idx="34">
                  <c:v>8.22289840255368</c:v>
                </c:pt>
                <c:pt idx="35">
                  <c:v>8.46474835556996</c:v>
                </c:pt>
                <c:pt idx="36">
                  <c:v>8.70659830858624</c:v>
                </c:pt>
                <c:pt idx="37">
                  <c:v>8.94844826160253</c:v>
                </c:pt>
                <c:pt idx="38">
                  <c:v>9.19029821461882</c:v>
                </c:pt>
                <c:pt idx="39">
                  <c:v>9.4321481676351</c:v>
                </c:pt>
                <c:pt idx="40">
                  <c:v>9.67399812065138</c:v>
                </c:pt>
                <c:pt idx="41">
                  <c:v>9.91584807366767</c:v>
                </c:pt>
                <c:pt idx="42">
                  <c:v>10.157698026684</c:v>
                </c:pt>
                <c:pt idx="43">
                  <c:v>10.3995479797002</c:v>
                </c:pt>
                <c:pt idx="44">
                  <c:v>10.6413979327165</c:v>
                </c:pt>
                <c:pt idx="45">
                  <c:v>10.8832478857328</c:v>
                </c:pt>
                <c:pt idx="46">
                  <c:v>11.1250978387491</c:v>
                </c:pt>
                <c:pt idx="47">
                  <c:v>11.3669477917654</c:v>
                </c:pt>
                <c:pt idx="48">
                  <c:v>11.6087977447817</c:v>
                </c:pt>
                <c:pt idx="49">
                  <c:v>11.8506476977979</c:v>
                </c:pt>
                <c:pt idx="50">
                  <c:v>12.0924976508142</c:v>
                </c:pt>
                <c:pt idx="51">
                  <c:v>12.3343476038305</c:v>
                </c:pt>
                <c:pt idx="52">
                  <c:v>12.5761975568468</c:v>
                </c:pt>
                <c:pt idx="53">
                  <c:v>12.8180475098631</c:v>
                </c:pt>
                <c:pt idx="54">
                  <c:v>13.0598974628794</c:v>
                </c:pt>
                <c:pt idx="55">
                  <c:v>13.3017474158957</c:v>
                </c:pt>
                <c:pt idx="56">
                  <c:v>13.5435973689119</c:v>
                </c:pt>
                <c:pt idx="57">
                  <c:v>13.7854473219282</c:v>
                </c:pt>
                <c:pt idx="58">
                  <c:v>14.0272972749445</c:v>
                </c:pt>
                <c:pt idx="59">
                  <c:v>14.2691472279608</c:v>
                </c:pt>
                <c:pt idx="60">
                  <c:v>14.5109971809771</c:v>
                </c:pt>
                <c:pt idx="61">
                  <c:v>14.7528471339934</c:v>
                </c:pt>
                <c:pt idx="62">
                  <c:v>14.9946970870096</c:v>
                </c:pt>
                <c:pt idx="63">
                  <c:v>15.2365470400259</c:v>
                </c:pt>
                <c:pt idx="64">
                  <c:v>15.4783969930422</c:v>
                </c:pt>
                <c:pt idx="65">
                  <c:v>15.7202469460585</c:v>
                </c:pt>
                <c:pt idx="66">
                  <c:v>15.9620968990748</c:v>
                </c:pt>
                <c:pt idx="67">
                  <c:v>16.2039468520911</c:v>
                </c:pt>
                <c:pt idx="68">
                  <c:v>16.4457968051074</c:v>
                </c:pt>
                <c:pt idx="69">
                  <c:v>16.6876467581236</c:v>
                </c:pt>
                <c:pt idx="70">
                  <c:v>16.9294967111399</c:v>
                </c:pt>
                <c:pt idx="71">
                  <c:v>17.1713466641562</c:v>
                </c:pt>
                <c:pt idx="72">
                  <c:v>17.4131966171725</c:v>
                </c:pt>
                <c:pt idx="73">
                  <c:v>17.6550465701888</c:v>
                </c:pt>
                <c:pt idx="74">
                  <c:v>17.8968965232051</c:v>
                </c:pt>
                <c:pt idx="75">
                  <c:v>18.1387464762214</c:v>
                </c:pt>
                <c:pt idx="76">
                  <c:v>18.3805964292376</c:v>
                </c:pt>
                <c:pt idx="77">
                  <c:v>18.6224463822539</c:v>
                </c:pt>
                <c:pt idx="78">
                  <c:v>18.8642963352702</c:v>
                </c:pt>
                <c:pt idx="79">
                  <c:v>19.1061462882865</c:v>
                </c:pt>
                <c:pt idx="80">
                  <c:v>19.3479962413028</c:v>
                </c:pt>
                <c:pt idx="81">
                  <c:v>19.5898461943191</c:v>
                </c:pt>
                <c:pt idx="82">
                  <c:v>19.8316961473353</c:v>
                </c:pt>
                <c:pt idx="83">
                  <c:v>20.0735461003516</c:v>
                </c:pt>
                <c:pt idx="84">
                  <c:v>20.3153960533679</c:v>
                </c:pt>
                <c:pt idx="85">
                  <c:v>20.5572460063842</c:v>
                </c:pt>
                <c:pt idx="86">
                  <c:v>20.7990959594005</c:v>
                </c:pt>
                <c:pt idx="87">
                  <c:v>21.0409459124168</c:v>
                </c:pt>
                <c:pt idx="88">
                  <c:v>21.282795865433</c:v>
                </c:pt>
                <c:pt idx="89">
                  <c:v>21.5246458184493</c:v>
                </c:pt>
                <c:pt idx="90">
                  <c:v>21.7664957714656</c:v>
                </c:pt>
                <c:pt idx="91">
                  <c:v>22.0083457244819</c:v>
                </c:pt>
                <c:pt idx="92">
                  <c:v>22.2501956774982</c:v>
                </c:pt>
                <c:pt idx="93">
                  <c:v>22.4920456305145</c:v>
                </c:pt>
                <c:pt idx="94">
                  <c:v>22.7338955835308</c:v>
                </c:pt>
                <c:pt idx="95">
                  <c:v>22.975745536547</c:v>
                </c:pt>
                <c:pt idx="96">
                  <c:v>23.2175954895633</c:v>
                </c:pt>
                <c:pt idx="97">
                  <c:v>23.4594454425796</c:v>
                </c:pt>
                <c:pt idx="98">
                  <c:v>23.7012953955959</c:v>
                </c:pt>
                <c:pt idx="99">
                  <c:v>23.9431453486122</c:v>
                </c:pt>
              </c:numCache>
            </c:numRef>
          </c:xVal>
          <c:yVal>
            <c:numRef>
              <c:f>'Index finger results'!$B$3:$B$102</c:f>
              <c:numCache>
                <c:formatCode>General</c:formatCode>
                <c:ptCount val="100"/>
                <c:pt idx="0">
                  <c:v>0</c:v>
                </c:pt>
                <c:pt idx="1">
                  <c:v>0.923798772218021</c:v>
                </c:pt>
                <c:pt idx="2">
                  <c:v>1.84759754443604</c:v>
                </c:pt>
                <c:pt idx="3">
                  <c:v>2.77139631665406</c:v>
                </c:pt>
                <c:pt idx="4">
                  <c:v>3.69519508887208</c:v>
                </c:pt>
                <c:pt idx="5">
                  <c:v>4.61899386109013</c:v>
                </c:pt>
                <c:pt idx="6">
                  <c:v>5.54279263330815</c:v>
                </c:pt>
                <c:pt idx="7">
                  <c:v>6.46659140552617</c:v>
                </c:pt>
                <c:pt idx="8">
                  <c:v>7.39039017774419</c:v>
                </c:pt>
                <c:pt idx="9">
                  <c:v>8.31418894996222</c:v>
                </c:pt>
                <c:pt idx="10">
                  <c:v>9.23798772218024</c:v>
                </c:pt>
                <c:pt idx="11">
                  <c:v>10.1617864943983</c:v>
                </c:pt>
                <c:pt idx="12">
                  <c:v>11.0855852666163</c:v>
                </c:pt>
                <c:pt idx="13">
                  <c:v>12.0093840388343</c:v>
                </c:pt>
                <c:pt idx="14">
                  <c:v>12.9331828110523</c:v>
                </c:pt>
                <c:pt idx="15">
                  <c:v>13.8569815832704</c:v>
                </c:pt>
                <c:pt idx="16">
                  <c:v>14.7807803554884</c:v>
                </c:pt>
                <c:pt idx="17">
                  <c:v>15.7045791277064</c:v>
                </c:pt>
                <c:pt idx="18">
                  <c:v>16.6283778999244</c:v>
                </c:pt>
                <c:pt idx="19">
                  <c:v>17.5521766721425</c:v>
                </c:pt>
                <c:pt idx="20">
                  <c:v>18.4759754443605</c:v>
                </c:pt>
                <c:pt idx="21">
                  <c:v>19.3997742165785</c:v>
                </c:pt>
                <c:pt idx="22">
                  <c:v>20.3235729887965</c:v>
                </c:pt>
                <c:pt idx="23">
                  <c:v>21.2473717610146</c:v>
                </c:pt>
                <c:pt idx="24">
                  <c:v>22.1711705332326</c:v>
                </c:pt>
                <c:pt idx="25">
                  <c:v>23.0949693054506</c:v>
                </c:pt>
                <c:pt idx="26">
                  <c:v>24.0187680776686</c:v>
                </c:pt>
                <c:pt idx="27">
                  <c:v>24.9425668498866</c:v>
                </c:pt>
                <c:pt idx="28">
                  <c:v>25.8663656221047</c:v>
                </c:pt>
                <c:pt idx="29">
                  <c:v>26.7901643943227</c:v>
                </c:pt>
                <c:pt idx="30">
                  <c:v>27.7139631665407</c:v>
                </c:pt>
                <c:pt idx="31">
                  <c:v>28.6377619387587</c:v>
                </c:pt>
                <c:pt idx="32">
                  <c:v>29.5615607109768</c:v>
                </c:pt>
                <c:pt idx="33">
                  <c:v>30.4853594831948</c:v>
                </c:pt>
                <c:pt idx="34">
                  <c:v>31.4091582554128</c:v>
                </c:pt>
                <c:pt idx="35">
                  <c:v>32.3329570276308</c:v>
                </c:pt>
                <c:pt idx="36">
                  <c:v>33.2567557998489</c:v>
                </c:pt>
                <c:pt idx="37">
                  <c:v>34.1805545720669</c:v>
                </c:pt>
                <c:pt idx="38">
                  <c:v>35.1043533442849</c:v>
                </c:pt>
                <c:pt idx="39">
                  <c:v>36.0281521165029</c:v>
                </c:pt>
                <c:pt idx="40">
                  <c:v>36.951950888721</c:v>
                </c:pt>
                <c:pt idx="41">
                  <c:v>37.875749660939</c:v>
                </c:pt>
                <c:pt idx="42">
                  <c:v>38.799548433157</c:v>
                </c:pt>
                <c:pt idx="43">
                  <c:v>39.723347205375</c:v>
                </c:pt>
                <c:pt idx="44">
                  <c:v>40.6471459775931</c:v>
                </c:pt>
                <c:pt idx="45">
                  <c:v>41.5709447498111</c:v>
                </c:pt>
                <c:pt idx="46">
                  <c:v>42.4947435220291</c:v>
                </c:pt>
                <c:pt idx="47">
                  <c:v>43.4185422942471</c:v>
                </c:pt>
                <c:pt idx="48">
                  <c:v>44.3423410664652</c:v>
                </c:pt>
                <c:pt idx="49">
                  <c:v>45.2661398386832</c:v>
                </c:pt>
                <c:pt idx="50">
                  <c:v>46.1899386109012</c:v>
                </c:pt>
                <c:pt idx="51">
                  <c:v>47.1137373831192</c:v>
                </c:pt>
                <c:pt idx="52">
                  <c:v>48.0375361553373</c:v>
                </c:pt>
                <c:pt idx="53">
                  <c:v>48.9613349275553</c:v>
                </c:pt>
                <c:pt idx="54">
                  <c:v>49.8851336997733</c:v>
                </c:pt>
                <c:pt idx="55">
                  <c:v>50.8089324719913</c:v>
                </c:pt>
                <c:pt idx="56">
                  <c:v>51.7327312442094</c:v>
                </c:pt>
                <c:pt idx="57">
                  <c:v>52.6565300164274</c:v>
                </c:pt>
                <c:pt idx="58">
                  <c:v>53.5803287886454</c:v>
                </c:pt>
                <c:pt idx="59">
                  <c:v>54.5041275608634</c:v>
                </c:pt>
                <c:pt idx="60">
                  <c:v>55.4279263330814</c:v>
                </c:pt>
                <c:pt idx="61">
                  <c:v>56.3517251052995</c:v>
                </c:pt>
                <c:pt idx="62">
                  <c:v>57.2755238775175</c:v>
                </c:pt>
                <c:pt idx="63">
                  <c:v>58.1993226497355</c:v>
                </c:pt>
                <c:pt idx="64">
                  <c:v>59.1231214219535</c:v>
                </c:pt>
                <c:pt idx="65">
                  <c:v>60.0469201941716</c:v>
                </c:pt>
                <c:pt idx="66">
                  <c:v>60.9707189663896</c:v>
                </c:pt>
                <c:pt idx="67">
                  <c:v>61.8945177386076</c:v>
                </c:pt>
                <c:pt idx="68">
                  <c:v>62.8183165108256</c:v>
                </c:pt>
                <c:pt idx="69">
                  <c:v>63.7421152830437</c:v>
                </c:pt>
                <c:pt idx="70">
                  <c:v>64.6659140552617</c:v>
                </c:pt>
                <c:pt idx="71">
                  <c:v>65.5897128274797</c:v>
                </c:pt>
                <c:pt idx="72">
                  <c:v>66.5135115996977</c:v>
                </c:pt>
                <c:pt idx="73">
                  <c:v>67.4373103719158</c:v>
                </c:pt>
                <c:pt idx="74">
                  <c:v>68.3611091441338</c:v>
                </c:pt>
                <c:pt idx="75">
                  <c:v>69.2849079163518</c:v>
                </c:pt>
                <c:pt idx="76">
                  <c:v>70.2087066885698</c:v>
                </c:pt>
                <c:pt idx="77">
                  <c:v>71.1325054607879</c:v>
                </c:pt>
                <c:pt idx="78">
                  <c:v>72.0563042330059</c:v>
                </c:pt>
                <c:pt idx="79">
                  <c:v>72.9801030052239</c:v>
                </c:pt>
                <c:pt idx="80">
                  <c:v>73.9039017774419</c:v>
                </c:pt>
                <c:pt idx="81">
                  <c:v>74.82770054966</c:v>
                </c:pt>
                <c:pt idx="82">
                  <c:v>75.751499321878</c:v>
                </c:pt>
                <c:pt idx="83">
                  <c:v>76.675298094096</c:v>
                </c:pt>
                <c:pt idx="84">
                  <c:v>77.599096866314</c:v>
                </c:pt>
                <c:pt idx="85">
                  <c:v>78.5228956385321</c:v>
                </c:pt>
                <c:pt idx="86">
                  <c:v>79.4466944107501</c:v>
                </c:pt>
                <c:pt idx="87">
                  <c:v>80.3704931829681</c:v>
                </c:pt>
                <c:pt idx="88">
                  <c:v>81.2942919551861</c:v>
                </c:pt>
                <c:pt idx="89">
                  <c:v>82.2180907274042</c:v>
                </c:pt>
                <c:pt idx="90">
                  <c:v>83.1418894996222</c:v>
                </c:pt>
                <c:pt idx="91">
                  <c:v>84.0656882718402</c:v>
                </c:pt>
                <c:pt idx="92">
                  <c:v>84.9894870440582</c:v>
                </c:pt>
                <c:pt idx="93">
                  <c:v>85.9132858162762</c:v>
                </c:pt>
                <c:pt idx="94">
                  <c:v>86.8370845884943</c:v>
                </c:pt>
                <c:pt idx="95">
                  <c:v>87.7608833607123</c:v>
                </c:pt>
                <c:pt idx="96">
                  <c:v>88.6846821329303</c:v>
                </c:pt>
                <c:pt idx="97">
                  <c:v>89.6084809051483</c:v>
                </c:pt>
                <c:pt idx="98">
                  <c:v>90.5322796773664</c:v>
                </c:pt>
                <c:pt idx="99">
                  <c:v>91.4560784495844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'Index finger results'!$C$2</c:f>
              <c:strCache>
                <c:ptCount val="1"/>
                <c:pt idx="0">
                  <c:v>Theta1</c:v>
                </c:pt>
              </c:strCache>
            </c:strRef>
          </c:tx>
          <c:spPr>
            <a:ln w="19080" cap="rnd" cmpd="sng" algn="ctr">
              <a:solidFill>
                <a:srgbClr val="ED7D31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xVal>
            <c:numRef>
              <c:f>'Index finger results'!$A$3:$A$102</c:f>
              <c:numCache>
                <c:formatCode>General</c:formatCode>
                <c:ptCount val="100"/>
                <c:pt idx="0">
                  <c:v>0</c:v>
                </c:pt>
                <c:pt idx="1">
                  <c:v>0.241849953016284</c:v>
                </c:pt>
                <c:pt idx="2">
                  <c:v>0.483699906032567</c:v>
                </c:pt>
                <c:pt idx="3">
                  <c:v>0.725549859048851</c:v>
                </c:pt>
                <c:pt idx="4">
                  <c:v>0.967399812065135</c:v>
                </c:pt>
                <c:pt idx="5">
                  <c:v>1.20924976508143</c:v>
                </c:pt>
                <c:pt idx="6">
                  <c:v>1.45109971809771</c:v>
                </c:pt>
                <c:pt idx="7">
                  <c:v>1.69294967111399</c:v>
                </c:pt>
                <c:pt idx="8">
                  <c:v>1.93479962413028</c:v>
                </c:pt>
                <c:pt idx="9">
                  <c:v>2.17664957714656</c:v>
                </c:pt>
                <c:pt idx="10">
                  <c:v>2.41849953016285</c:v>
                </c:pt>
                <c:pt idx="11">
                  <c:v>2.66034948317913</c:v>
                </c:pt>
                <c:pt idx="12">
                  <c:v>2.90219943619541</c:v>
                </c:pt>
                <c:pt idx="13">
                  <c:v>3.1440493892117</c:v>
                </c:pt>
                <c:pt idx="14">
                  <c:v>3.38589934222798</c:v>
                </c:pt>
                <c:pt idx="15">
                  <c:v>3.62774929524427</c:v>
                </c:pt>
                <c:pt idx="16">
                  <c:v>3.86959924826055</c:v>
                </c:pt>
                <c:pt idx="17">
                  <c:v>4.11144920127684</c:v>
                </c:pt>
                <c:pt idx="18">
                  <c:v>4.35329915429312</c:v>
                </c:pt>
                <c:pt idx="19">
                  <c:v>4.59514910730941</c:v>
                </c:pt>
                <c:pt idx="20">
                  <c:v>4.83699906032569</c:v>
                </c:pt>
                <c:pt idx="21">
                  <c:v>5.07884901334198</c:v>
                </c:pt>
                <c:pt idx="22">
                  <c:v>5.32069896635826</c:v>
                </c:pt>
                <c:pt idx="23">
                  <c:v>5.56254891937455</c:v>
                </c:pt>
                <c:pt idx="24">
                  <c:v>5.80439887239083</c:v>
                </c:pt>
                <c:pt idx="25">
                  <c:v>6.04624882540712</c:v>
                </c:pt>
                <c:pt idx="26">
                  <c:v>6.2880987784234</c:v>
                </c:pt>
                <c:pt idx="27">
                  <c:v>6.52994873143968</c:v>
                </c:pt>
                <c:pt idx="28">
                  <c:v>6.77179868445597</c:v>
                </c:pt>
                <c:pt idx="29">
                  <c:v>7.01364863747226</c:v>
                </c:pt>
                <c:pt idx="30">
                  <c:v>7.25549859048854</c:v>
                </c:pt>
                <c:pt idx="31">
                  <c:v>7.49734854350482</c:v>
                </c:pt>
                <c:pt idx="32">
                  <c:v>7.73919849652111</c:v>
                </c:pt>
                <c:pt idx="33">
                  <c:v>7.98104844953739</c:v>
                </c:pt>
                <c:pt idx="34">
                  <c:v>8.22289840255368</c:v>
                </c:pt>
                <c:pt idx="35">
                  <c:v>8.46474835556996</c:v>
                </c:pt>
                <c:pt idx="36">
                  <c:v>8.70659830858624</c:v>
                </c:pt>
                <c:pt idx="37">
                  <c:v>8.94844826160253</c:v>
                </c:pt>
                <c:pt idx="38">
                  <c:v>9.19029821461882</c:v>
                </c:pt>
                <c:pt idx="39">
                  <c:v>9.4321481676351</c:v>
                </c:pt>
                <c:pt idx="40">
                  <c:v>9.67399812065138</c:v>
                </c:pt>
                <c:pt idx="41">
                  <c:v>9.91584807366767</c:v>
                </c:pt>
                <c:pt idx="42">
                  <c:v>10.157698026684</c:v>
                </c:pt>
                <c:pt idx="43">
                  <c:v>10.3995479797002</c:v>
                </c:pt>
                <c:pt idx="44">
                  <c:v>10.6413979327165</c:v>
                </c:pt>
                <c:pt idx="45">
                  <c:v>10.8832478857328</c:v>
                </c:pt>
                <c:pt idx="46">
                  <c:v>11.1250978387491</c:v>
                </c:pt>
                <c:pt idx="47">
                  <c:v>11.3669477917654</c:v>
                </c:pt>
                <c:pt idx="48">
                  <c:v>11.6087977447817</c:v>
                </c:pt>
                <c:pt idx="49">
                  <c:v>11.8506476977979</c:v>
                </c:pt>
                <c:pt idx="50">
                  <c:v>12.0924976508142</c:v>
                </c:pt>
                <c:pt idx="51">
                  <c:v>12.3343476038305</c:v>
                </c:pt>
                <c:pt idx="52">
                  <c:v>12.5761975568468</c:v>
                </c:pt>
                <c:pt idx="53">
                  <c:v>12.8180475098631</c:v>
                </c:pt>
                <c:pt idx="54">
                  <c:v>13.0598974628794</c:v>
                </c:pt>
                <c:pt idx="55">
                  <c:v>13.3017474158957</c:v>
                </c:pt>
                <c:pt idx="56">
                  <c:v>13.5435973689119</c:v>
                </c:pt>
                <c:pt idx="57">
                  <c:v>13.7854473219282</c:v>
                </c:pt>
                <c:pt idx="58">
                  <c:v>14.0272972749445</c:v>
                </c:pt>
                <c:pt idx="59">
                  <c:v>14.2691472279608</c:v>
                </c:pt>
                <c:pt idx="60">
                  <c:v>14.5109971809771</c:v>
                </c:pt>
                <c:pt idx="61">
                  <c:v>14.7528471339934</c:v>
                </c:pt>
                <c:pt idx="62">
                  <c:v>14.9946970870096</c:v>
                </c:pt>
                <c:pt idx="63">
                  <c:v>15.2365470400259</c:v>
                </c:pt>
                <c:pt idx="64">
                  <c:v>15.4783969930422</c:v>
                </c:pt>
                <c:pt idx="65">
                  <c:v>15.7202469460585</c:v>
                </c:pt>
                <c:pt idx="66">
                  <c:v>15.9620968990748</c:v>
                </c:pt>
                <c:pt idx="67">
                  <c:v>16.2039468520911</c:v>
                </c:pt>
                <c:pt idx="68">
                  <c:v>16.4457968051074</c:v>
                </c:pt>
                <c:pt idx="69">
                  <c:v>16.6876467581236</c:v>
                </c:pt>
                <c:pt idx="70">
                  <c:v>16.9294967111399</c:v>
                </c:pt>
                <c:pt idx="71">
                  <c:v>17.1713466641562</c:v>
                </c:pt>
                <c:pt idx="72">
                  <c:v>17.4131966171725</c:v>
                </c:pt>
                <c:pt idx="73">
                  <c:v>17.6550465701888</c:v>
                </c:pt>
                <c:pt idx="74">
                  <c:v>17.8968965232051</c:v>
                </c:pt>
                <c:pt idx="75">
                  <c:v>18.1387464762214</c:v>
                </c:pt>
                <c:pt idx="76">
                  <c:v>18.3805964292376</c:v>
                </c:pt>
                <c:pt idx="77">
                  <c:v>18.6224463822539</c:v>
                </c:pt>
                <c:pt idx="78">
                  <c:v>18.8642963352702</c:v>
                </c:pt>
                <c:pt idx="79">
                  <c:v>19.1061462882865</c:v>
                </c:pt>
                <c:pt idx="80">
                  <c:v>19.3479962413028</c:v>
                </c:pt>
                <c:pt idx="81">
                  <c:v>19.5898461943191</c:v>
                </c:pt>
                <c:pt idx="82">
                  <c:v>19.8316961473353</c:v>
                </c:pt>
                <c:pt idx="83">
                  <c:v>20.0735461003516</c:v>
                </c:pt>
                <c:pt idx="84">
                  <c:v>20.3153960533679</c:v>
                </c:pt>
                <c:pt idx="85">
                  <c:v>20.5572460063842</c:v>
                </c:pt>
                <c:pt idx="86">
                  <c:v>20.7990959594005</c:v>
                </c:pt>
                <c:pt idx="87">
                  <c:v>21.0409459124168</c:v>
                </c:pt>
                <c:pt idx="88">
                  <c:v>21.282795865433</c:v>
                </c:pt>
                <c:pt idx="89">
                  <c:v>21.5246458184493</c:v>
                </c:pt>
                <c:pt idx="90">
                  <c:v>21.7664957714656</c:v>
                </c:pt>
                <c:pt idx="91">
                  <c:v>22.0083457244819</c:v>
                </c:pt>
                <c:pt idx="92">
                  <c:v>22.2501956774982</c:v>
                </c:pt>
                <c:pt idx="93">
                  <c:v>22.4920456305145</c:v>
                </c:pt>
                <c:pt idx="94">
                  <c:v>22.7338955835308</c:v>
                </c:pt>
                <c:pt idx="95">
                  <c:v>22.975745536547</c:v>
                </c:pt>
                <c:pt idx="96">
                  <c:v>23.2175954895633</c:v>
                </c:pt>
                <c:pt idx="97">
                  <c:v>23.4594454425796</c:v>
                </c:pt>
                <c:pt idx="98">
                  <c:v>23.7012953955959</c:v>
                </c:pt>
                <c:pt idx="99">
                  <c:v>23.9431453486122</c:v>
                </c:pt>
              </c:numCache>
            </c:numRef>
          </c:xVal>
          <c:yVal>
            <c:numRef>
              <c:f>'Index finger results'!$C$3:$C$102</c:f>
              <c:numCache>
                <c:formatCode>General</c:formatCode>
                <c:ptCount val="100"/>
                <c:pt idx="0">
                  <c:v>0</c:v>
                </c:pt>
                <c:pt idx="1">
                  <c:v>0.261326897984355</c:v>
                </c:pt>
                <c:pt idx="2">
                  <c:v>0.522385248930862</c:v>
                </c:pt>
                <c:pt idx="3">
                  <c:v>0.781179018058611</c:v>
                </c:pt>
                <c:pt idx="4">
                  <c:v>1.03968510223983</c:v>
                </c:pt>
                <c:pt idx="5">
                  <c:v>1.29699204441081</c:v>
                </c:pt>
                <c:pt idx="6">
                  <c:v>1.5541480417787</c:v>
                </c:pt>
                <c:pt idx="7">
                  <c:v>1.81089574903055</c:v>
                </c:pt>
                <c:pt idx="8">
                  <c:v>2.06773562085875</c:v>
                </c:pt>
                <c:pt idx="9">
                  <c:v>2.32475269933625</c:v>
                </c:pt>
                <c:pt idx="10">
                  <c:v>2.58219229874828</c:v>
                </c:pt>
                <c:pt idx="11">
                  <c:v>2.84022407316369</c:v>
                </c:pt>
                <c:pt idx="12">
                  <c:v>3.09909753613739</c:v>
                </c:pt>
                <c:pt idx="13">
                  <c:v>3.35881867184606</c:v>
                </c:pt>
                <c:pt idx="14">
                  <c:v>3.61990476530891</c:v>
                </c:pt>
                <c:pt idx="15">
                  <c:v>3.88192949889525</c:v>
                </c:pt>
                <c:pt idx="16">
                  <c:v>4.14597055658357</c:v>
                </c:pt>
                <c:pt idx="17">
                  <c:v>4.4108610513716</c:v>
                </c:pt>
                <c:pt idx="18">
                  <c:v>4.67857640723523</c:v>
                </c:pt>
                <c:pt idx="19">
                  <c:v>4.94684962463529</c:v>
                </c:pt>
                <c:pt idx="20">
                  <c:v>5.21894494726488</c:v>
                </c:pt>
                <c:pt idx="21">
                  <c:v>5.49181568434531</c:v>
                </c:pt>
                <c:pt idx="22">
                  <c:v>5.76825190325288</c:v>
                </c:pt>
                <c:pt idx="23">
                  <c:v>6.04648393614177</c:v>
                </c:pt>
                <c:pt idx="24">
                  <c:v>6.32763483171818</c:v>
                </c:pt>
                <c:pt idx="25">
                  <c:v>6.61194946227022</c:v>
                </c:pt>
                <c:pt idx="26">
                  <c:v>6.89819939035026</c:v>
                </c:pt>
                <c:pt idx="27">
                  <c:v>7.18931508920689</c:v>
                </c:pt>
                <c:pt idx="28">
                  <c:v>7.48215195397079</c:v>
                </c:pt>
                <c:pt idx="29">
                  <c:v>7.77965672140573</c:v>
                </c:pt>
                <c:pt idx="30">
                  <c:v>8.08040753286768</c:v>
                </c:pt>
                <c:pt idx="31">
                  <c:v>8.38402558892832</c:v>
                </c:pt>
                <c:pt idx="32">
                  <c:v>8.69341960764802</c:v>
                </c:pt>
                <c:pt idx="33">
                  <c:v>9.00548686503051</c:v>
                </c:pt>
                <c:pt idx="34">
                  <c:v>9.32221053947131</c:v>
                </c:pt>
                <c:pt idx="35">
                  <c:v>9.64409574979581</c:v>
                </c:pt>
                <c:pt idx="36">
                  <c:v>9.9693115865531</c:v>
                </c:pt>
                <c:pt idx="37">
                  <c:v>10.3002060247211</c:v>
                </c:pt>
                <c:pt idx="38">
                  <c:v>10.636439350698</c:v>
                </c:pt>
                <c:pt idx="39">
                  <c:v>10.9767309744184</c:v>
                </c:pt>
                <c:pt idx="40">
                  <c:v>11.3227485398457</c:v>
                </c:pt>
                <c:pt idx="41">
                  <c:v>11.6752609420161</c:v>
                </c:pt>
                <c:pt idx="42">
                  <c:v>12.0326030949594</c:v>
                </c:pt>
                <c:pt idx="43">
                  <c:v>12.3950744805382</c:v>
                </c:pt>
                <c:pt idx="44">
                  <c:v>12.7653492395302</c:v>
                </c:pt>
                <c:pt idx="45">
                  <c:v>13.1417241270271</c:v>
                </c:pt>
                <c:pt idx="46">
                  <c:v>13.5240352190521</c:v>
                </c:pt>
                <c:pt idx="47">
                  <c:v>13.912603899542</c:v>
                </c:pt>
                <c:pt idx="48">
                  <c:v>14.3087685327133</c:v>
                </c:pt>
                <c:pt idx="49">
                  <c:v>14.7128704722387</c:v>
                </c:pt>
                <c:pt idx="50">
                  <c:v>15.1240328275584</c:v>
                </c:pt>
                <c:pt idx="51">
                  <c:v>15.5425800866339</c:v>
                </c:pt>
                <c:pt idx="52">
                  <c:v>15.968837154498</c:v>
                </c:pt>
                <c:pt idx="53">
                  <c:v>16.4031278184592</c:v>
                </c:pt>
                <c:pt idx="54">
                  <c:v>16.8457733737227</c:v>
                </c:pt>
                <c:pt idx="55">
                  <c:v>17.2976407285447</c:v>
                </c:pt>
                <c:pt idx="56">
                  <c:v>17.7586582977744</c:v>
                </c:pt>
                <c:pt idx="57">
                  <c:v>18.228760523512</c:v>
                </c:pt>
                <c:pt idx="58">
                  <c:v>18.7082475421391</c:v>
                </c:pt>
                <c:pt idx="59">
                  <c:v>19.1974129573895</c:v>
                </c:pt>
                <c:pt idx="60">
                  <c:v>19.6965430270212</c:v>
                </c:pt>
                <c:pt idx="61">
                  <c:v>20.2059159280758</c:v>
                </c:pt>
                <c:pt idx="62">
                  <c:v>20.7258010897727</c:v>
                </c:pt>
                <c:pt idx="63">
                  <c:v>21.2564585835535</c:v>
                </c:pt>
                <c:pt idx="64">
                  <c:v>21.7985276733915</c:v>
                </c:pt>
                <c:pt idx="65">
                  <c:v>22.352556130472</c:v>
                </c:pt>
                <c:pt idx="66">
                  <c:v>22.9182558878224</c:v>
                </c:pt>
                <c:pt idx="67">
                  <c:v>23.4958382722743</c:v>
                </c:pt>
                <c:pt idx="68">
                  <c:v>24.0855022515828</c:v>
                </c:pt>
                <c:pt idx="69">
                  <c:v>24.6874339727415</c:v>
                </c:pt>
                <c:pt idx="70">
                  <c:v>25.3028230610146</c:v>
                </c:pt>
                <c:pt idx="71">
                  <c:v>25.9320007005486</c:v>
                </c:pt>
                <c:pt idx="72">
                  <c:v>26.5740576968856</c:v>
                </c:pt>
                <c:pt idx="73">
                  <c:v>27.229224753101</c:v>
                </c:pt>
                <c:pt idx="74">
                  <c:v>27.9001007651901</c:v>
                </c:pt>
                <c:pt idx="75">
                  <c:v>28.5842713267065</c:v>
                </c:pt>
                <c:pt idx="76">
                  <c:v>29.2829764565872</c:v>
                </c:pt>
                <c:pt idx="77">
                  <c:v>29.997003580161</c:v>
                </c:pt>
                <c:pt idx="78">
                  <c:v>30.7250276275901</c:v>
                </c:pt>
                <c:pt idx="79">
                  <c:v>31.4693213590303</c:v>
                </c:pt>
                <c:pt idx="80">
                  <c:v>32.2277764609917</c:v>
                </c:pt>
                <c:pt idx="81">
                  <c:v>33.0023544453867</c:v>
                </c:pt>
                <c:pt idx="82">
                  <c:v>33.7917716874716</c:v>
                </c:pt>
                <c:pt idx="83">
                  <c:v>34.5961844736573</c:v>
                </c:pt>
                <c:pt idx="84">
                  <c:v>35.4163979676592</c:v>
                </c:pt>
                <c:pt idx="85">
                  <c:v>36.2508525777997</c:v>
                </c:pt>
                <c:pt idx="86">
                  <c:v>37.0996450498499</c:v>
                </c:pt>
                <c:pt idx="87">
                  <c:v>37.9631664547365</c:v>
                </c:pt>
                <c:pt idx="88">
                  <c:v>38.8397549547513</c:v>
                </c:pt>
                <c:pt idx="89">
                  <c:v>39.7287641902696</c:v>
                </c:pt>
                <c:pt idx="90">
                  <c:v>40.6293355096653</c:v>
                </c:pt>
                <c:pt idx="91">
                  <c:v>41.5405773364782</c:v>
                </c:pt>
                <c:pt idx="92">
                  <c:v>42.4610655395325</c:v>
                </c:pt>
                <c:pt idx="93">
                  <c:v>43.389020241804</c:v>
                </c:pt>
                <c:pt idx="94">
                  <c:v>44.3227323800283</c:v>
                </c:pt>
                <c:pt idx="95">
                  <c:v>45.2603149248093</c:v>
                </c:pt>
                <c:pt idx="96">
                  <c:v>46.1997328241014</c:v>
                </c:pt>
                <c:pt idx="97">
                  <c:v>47.138785175684</c:v>
                </c:pt>
                <c:pt idx="98">
                  <c:v>48.0747415988606</c:v>
                </c:pt>
                <c:pt idx="99">
                  <c:v>49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'Index finger results'!$D$2</c:f>
              <c:strCache>
                <c:ptCount val="1"/>
                <c:pt idx="0">
                  <c:v>Theta2</c:v>
                </c:pt>
              </c:strCache>
            </c:strRef>
          </c:tx>
          <c:spPr>
            <a:ln w="19080" cap="rnd" cmpd="sng" algn="ctr">
              <a:solidFill>
                <a:srgbClr val="A5A5A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xVal>
            <c:numRef>
              <c:f>'Index finger results'!$A$3:$A$102</c:f>
              <c:numCache>
                <c:formatCode>General</c:formatCode>
                <c:ptCount val="100"/>
                <c:pt idx="0">
                  <c:v>0</c:v>
                </c:pt>
                <c:pt idx="1">
                  <c:v>0.241849953016284</c:v>
                </c:pt>
                <c:pt idx="2">
                  <c:v>0.483699906032567</c:v>
                </c:pt>
                <c:pt idx="3">
                  <c:v>0.725549859048851</c:v>
                </c:pt>
                <c:pt idx="4">
                  <c:v>0.967399812065135</c:v>
                </c:pt>
                <c:pt idx="5">
                  <c:v>1.20924976508143</c:v>
                </c:pt>
                <c:pt idx="6">
                  <c:v>1.45109971809771</c:v>
                </c:pt>
                <c:pt idx="7">
                  <c:v>1.69294967111399</c:v>
                </c:pt>
                <c:pt idx="8">
                  <c:v>1.93479962413028</c:v>
                </c:pt>
                <c:pt idx="9">
                  <c:v>2.17664957714656</c:v>
                </c:pt>
                <c:pt idx="10">
                  <c:v>2.41849953016285</c:v>
                </c:pt>
                <c:pt idx="11">
                  <c:v>2.66034948317913</c:v>
                </c:pt>
                <c:pt idx="12">
                  <c:v>2.90219943619541</c:v>
                </c:pt>
                <c:pt idx="13">
                  <c:v>3.1440493892117</c:v>
                </c:pt>
                <c:pt idx="14">
                  <c:v>3.38589934222798</c:v>
                </c:pt>
                <c:pt idx="15">
                  <c:v>3.62774929524427</c:v>
                </c:pt>
                <c:pt idx="16">
                  <c:v>3.86959924826055</c:v>
                </c:pt>
                <c:pt idx="17">
                  <c:v>4.11144920127684</c:v>
                </c:pt>
                <c:pt idx="18">
                  <c:v>4.35329915429312</c:v>
                </c:pt>
                <c:pt idx="19">
                  <c:v>4.59514910730941</c:v>
                </c:pt>
                <c:pt idx="20">
                  <c:v>4.83699906032569</c:v>
                </c:pt>
                <c:pt idx="21">
                  <c:v>5.07884901334198</c:v>
                </c:pt>
                <c:pt idx="22">
                  <c:v>5.32069896635826</c:v>
                </c:pt>
                <c:pt idx="23">
                  <c:v>5.56254891937455</c:v>
                </c:pt>
                <c:pt idx="24">
                  <c:v>5.80439887239083</c:v>
                </c:pt>
                <c:pt idx="25">
                  <c:v>6.04624882540712</c:v>
                </c:pt>
                <c:pt idx="26">
                  <c:v>6.2880987784234</c:v>
                </c:pt>
                <c:pt idx="27">
                  <c:v>6.52994873143968</c:v>
                </c:pt>
                <c:pt idx="28">
                  <c:v>6.77179868445597</c:v>
                </c:pt>
                <c:pt idx="29">
                  <c:v>7.01364863747226</c:v>
                </c:pt>
                <c:pt idx="30">
                  <c:v>7.25549859048854</c:v>
                </c:pt>
                <c:pt idx="31">
                  <c:v>7.49734854350482</c:v>
                </c:pt>
                <c:pt idx="32">
                  <c:v>7.73919849652111</c:v>
                </c:pt>
                <c:pt idx="33">
                  <c:v>7.98104844953739</c:v>
                </c:pt>
                <c:pt idx="34">
                  <c:v>8.22289840255368</c:v>
                </c:pt>
                <c:pt idx="35">
                  <c:v>8.46474835556996</c:v>
                </c:pt>
                <c:pt idx="36">
                  <c:v>8.70659830858624</c:v>
                </c:pt>
                <c:pt idx="37">
                  <c:v>8.94844826160253</c:v>
                </c:pt>
                <c:pt idx="38">
                  <c:v>9.19029821461882</c:v>
                </c:pt>
                <c:pt idx="39">
                  <c:v>9.4321481676351</c:v>
                </c:pt>
                <c:pt idx="40">
                  <c:v>9.67399812065138</c:v>
                </c:pt>
                <c:pt idx="41">
                  <c:v>9.91584807366767</c:v>
                </c:pt>
                <c:pt idx="42">
                  <c:v>10.157698026684</c:v>
                </c:pt>
                <c:pt idx="43">
                  <c:v>10.3995479797002</c:v>
                </c:pt>
                <c:pt idx="44">
                  <c:v>10.6413979327165</c:v>
                </c:pt>
                <c:pt idx="45">
                  <c:v>10.8832478857328</c:v>
                </c:pt>
                <c:pt idx="46">
                  <c:v>11.1250978387491</c:v>
                </c:pt>
                <c:pt idx="47">
                  <c:v>11.3669477917654</c:v>
                </c:pt>
                <c:pt idx="48">
                  <c:v>11.6087977447817</c:v>
                </c:pt>
                <c:pt idx="49">
                  <c:v>11.8506476977979</c:v>
                </c:pt>
                <c:pt idx="50">
                  <c:v>12.0924976508142</c:v>
                </c:pt>
                <c:pt idx="51">
                  <c:v>12.3343476038305</c:v>
                </c:pt>
                <c:pt idx="52">
                  <c:v>12.5761975568468</c:v>
                </c:pt>
                <c:pt idx="53">
                  <c:v>12.8180475098631</c:v>
                </c:pt>
                <c:pt idx="54">
                  <c:v>13.0598974628794</c:v>
                </c:pt>
                <c:pt idx="55">
                  <c:v>13.3017474158957</c:v>
                </c:pt>
                <c:pt idx="56">
                  <c:v>13.5435973689119</c:v>
                </c:pt>
                <c:pt idx="57">
                  <c:v>13.7854473219282</c:v>
                </c:pt>
                <c:pt idx="58">
                  <c:v>14.0272972749445</c:v>
                </c:pt>
                <c:pt idx="59">
                  <c:v>14.2691472279608</c:v>
                </c:pt>
                <c:pt idx="60">
                  <c:v>14.5109971809771</c:v>
                </c:pt>
                <c:pt idx="61">
                  <c:v>14.7528471339934</c:v>
                </c:pt>
                <c:pt idx="62">
                  <c:v>14.9946970870096</c:v>
                </c:pt>
                <c:pt idx="63">
                  <c:v>15.2365470400259</c:v>
                </c:pt>
                <c:pt idx="64">
                  <c:v>15.4783969930422</c:v>
                </c:pt>
                <c:pt idx="65">
                  <c:v>15.7202469460585</c:v>
                </c:pt>
                <c:pt idx="66">
                  <c:v>15.9620968990748</c:v>
                </c:pt>
                <c:pt idx="67">
                  <c:v>16.2039468520911</c:v>
                </c:pt>
                <c:pt idx="68">
                  <c:v>16.4457968051074</c:v>
                </c:pt>
                <c:pt idx="69">
                  <c:v>16.6876467581236</c:v>
                </c:pt>
                <c:pt idx="70">
                  <c:v>16.9294967111399</c:v>
                </c:pt>
                <c:pt idx="71">
                  <c:v>17.1713466641562</c:v>
                </c:pt>
                <c:pt idx="72">
                  <c:v>17.4131966171725</c:v>
                </c:pt>
                <c:pt idx="73">
                  <c:v>17.6550465701888</c:v>
                </c:pt>
                <c:pt idx="74">
                  <c:v>17.8968965232051</c:v>
                </c:pt>
                <c:pt idx="75">
                  <c:v>18.1387464762214</c:v>
                </c:pt>
                <c:pt idx="76">
                  <c:v>18.3805964292376</c:v>
                </c:pt>
                <c:pt idx="77">
                  <c:v>18.6224463822539</c:v>
                </c:pt>
                <c:pt idx="78">
                  <c:v>18.8642963352702</c:v>
                </c:pt>
                <c:pt idx="79">
                  <c:v>19.1061462882865</c:v>
                </c:pt>
                <c:pt idx="80">
                  <c:v>19.3479962413028</c:v>
                </c:pt>
                <c:pt idx="81">
                  <c:v>19.5898461943191</c:v>
                </c:pt>
                <c:pt idx="82">
                  <c:v>19.8316961473353</c:v>
                </c:pt>
                <c:pt idx="83">
                  <c:v>20.0735461003516</c:v>
                </c:pt>
                <c:pt idx="84">
                  <c:v>20.3153960533679</c:v>
                </c:pt>
                <c:pt idx="85">
                  <c:v>20.5572460063842</c:v>
                </c:pt>
                <c:pt idx="86">
                  <c:v>20.7990959594005</c:v>
                </c:pt>
                <c:pt idx="87">
                  <c:v>21.0409459124168</c:v>
                </c:pt>
                <c:pt idx="88">
                  <c:v>21.282795865433</c:v>
                </c:pt>
                <c:pt idx="89">
                  <c:v>21.5246458184493</c:v>
                </c:pt>
                <c:pt idx="90">
                  <c:v>21.7664957714656</c:v>
                </c:pt>
                <c:pt idx="91">
                  <c:v>22.0083457244819</c:v>
                </c:pt>
                <c:pt idx="92">
                  <c:v>22.2501956774982</c:v>
                </c:pt>
                <c:pt idx="93">
                  <c:v>22.4920456305145</c:v>
                </c:pt>
                <c:pt idx="94">
                  <c:v>22.7338955835308</c:v>
                </c:pt>
                <c:pt idx="95">
                  <c:v>22.975745536547</c:v>
                </c:pt>
                <c:pt idx="96">
                  <c:v>23.2175954895633</c:v>
                </c:pt>
                <c:pt idx="97">
                  <c:v>23.4594454425796</c:v>
                </c:pt>
                <c:pt idx="98">
                  <c:v>23.7012953955959</c:v>
                </c:pt>
                <c:pt idx="99">
                  <c:v>23.9431453486122</c:v>
                </c:pt>
              </c:numCache>
            </c:numRef>
          </c:xVal>
          <c:yVal>
            <c:numRef>
              <c:f>'Index finger results'!$D$3:$D$102</c:f>
              <c:numCache>
                <c:formatCode>General</c:formatCode>
                <c:ptCount val="100"/>
                <c:pt idx="0">
                  <c:v>0</c:v>
                </c:pt>
                <c:pt idx="1">
                  <c:v>0.195995173488267</c:v>
                </c:pt>
                <c:pt idx="2">
                  <c:v>0.391788936698147</c:v>
                </c:pt>
                <c:pt idx="3">
                  <c:v>0.585884263543958</c:v>
                </c:pt>
                <c:pt idx="4">
                  <c:v>0.779763826679869</c:v>
                </c:pt>
                <c:pt idx="5">
                  <c:v>0.972744033308107</c:v>
                </c:pt>
                <c:pt idx="6">
                  <c:v>1.16561103133402</c:v>
                </c:pt>
                <c:pt idx="7">
                  <c:v>1.35817181177291</c:v>
                </c:pt>
                <c:pt idx="8">
                  <c:v>1.55080171564406</c:v>
                </c:pt>
                <c:pt idx="9">
                  <c:v>1.74356452450219</c:v>
                </c:pt>
                <c:pt idx="10">
                  <c:v>1.93664422406121</c:v>
                </c:pt>
                <c:pt idx="11">
                  <c:v>2.13016805487277</c:v>
                </c:pt>
                <c:pt idx="12">
                  <c:v>2.32432315210304</c:v>
                </c:pt>
                <c:pt idx="13">
                  <c:v>2.51911400388455</c:v>
                </c:pt>
                <c:pt idx="14">
                  <c:v>2.71492857398168</c:v>
                </c:pt>
                <c:pt idx="15">
                  <c:v>2.91144712417143</c:v>
                </c:pt>
                <c:pt idx="16">
                  <c:v>3.10947791743768</c:v>
                </c:pt>
                <c:pt idx="17">
                  <c:v>3.3081457885287</c:v>
                </c:pt>
                <c:pt idx="18">
                  <c:v>3.50893230542642</c:v>
                </c:pt>
                <c:pt idx="19">
                  <c:v>3.71013721847647</c:v>
                </c:pt>
                <c:pt idx="20">
                  <c:v>3.91420871044866</c:v>
                </c:pt>
                <c:pt idx="21">
                  <c:v>4.11886176325898</c:v>
                </c:pt>
                <c:pt idx="22">
                  <c:v>4.32618892743966</c:v>
                </c:pt>
                <c:pt idx="23">
                  <c:v>4.53486295210632</c:v>
                </c:pt>
                <c:pt idx="24">
                  <c:v>4.74572612378863</c:v>
                </c:pt>
                <c:pt idx="25">
                  <c:v>4.95896209670267</c:v>
                </c:pt>
                <c:pt idx="26">
                  <c:v>5.1736495427627</c:v>
                </c:pt>
                <c:pt idx="27">
                  <c:v>5.39198631690517</c:v>
                </c:pt>
                <c:pt idx="28">
                  <c:v>5.6116139654781</c:v>
                </c:pt>
                <c:pt idx="29">
                  <c:v>5.8347425410543</c:v>
                </c:pt>
                <c:pt idx="30">
                  <c:v>6.06030564965076</c:v>
                </c:pt>
                <c:pt idx="31">
                  <c:v>6.28801919169624</c:v>
                </c:pt>
                <c:pt idx="32">
                  <c:v>6.52006470573601</c:v>
                </c:pt>
                <c:pt idx="33">
                  <c:v>6.75411514877289</c:v>
                </c:pt>
                <c:pt idx="34">
                  <c:v>6.99165790460349</c:v>
                </c:pt>
                <c:pt idx="35">
                  <c:v>7.23307181234686</c:v>
                </c:pt>
                <c:pt idx="36">
                  <c:v>7.47698368991482</c:v>
                </c:pt>
                <c:pt idx="37">
                  <c:v>7.72515451854082</c:v>
                </c:pt>
                <c:pt idx="38">
                  <c:v>7.97732951302347</c:v>
                </c:pt>
                <c:pt idx="39">
                  <c:v>8.23254823081381</c:v>
                </c:pt>
                <c:pt idx="40">
                  <c:v>8.49206140488431</c:v>
                </c:pt>
                <c:pt idx="41">
                  <c:v>8.75644570651209</c:v>
                </c:pt>
                <c:pt idx="42">
                  <c:v>9.02445232121956</c:v>
                </c:pt>
                <c:pt idx="43">
                  <c:v>9.29630586040364</c:v>
                </c:pt>
                <c:pt idx="44">
                  <c:v>9.57401192964764</c:v>
                </c:pt>
                <c:pt idx="45">
                  <c:v>9.85629309527034</c:v>
                </c:pt>
                <c:pt idx="46">
                  <c:v>10.1430264142891</c:v>
                </c:pt>
                <c:pt idx="47">
                  <c:v>10.4344529246565</c:v>
                </c:pt>
                <c:pt idx="48">
                  <c:v>10.731576399535</c:v>
                </c:pt>
                <c:pt idx="49">
                  <c:v>11.034652854179</c:v>
                </c:pt>
                <c:pt idx="50">
                  <c:v>11.3430246206688</c:v>
                </c:pt>
                <c:pt idx="51">
                  <c:v>11.6569350649754</c:v>
                </c:pt>
                <c:pt idx="52">
                  <c:v>11.9766278658735</c:v>
                </c:pt>
                <c:pt idx="53">
                  <c:v>12.3023458638444</c:v>
                </c:pt>
                <c:pt idx="54">
                  <c:v>12.634330030292</c:v>
                </c:pt>
                <c:pt idx="55">
                  <c:v>12.9732305464086</c:v>
                </c:pt>
                <c:pt idx="56">
                  <c:v>13.3189937233308</c:v>
                </c:pt>
                <c:pt idx="57">
                  <c:v>13.671570392634</c:v>
                </c:pt>
                <c:pt idx="58">
                  <c:v>14.0311856566043</c:v>
                </c:pt>
                <c:pt idx="59">
                  <c:v>14.3980597180421</c:v>
                </c:pt>
                <c:pt idx="60">
                  <c:v>14.7724072702659</c:v>
                </c:pt>
                <c:pt idx="61">
                  <c:v>15.1544369460569</c:v>
                </c:pt>
                <c:pt idx="62">
                  <c:v>15.5443508173295</c:v>
                </c:pt>
                <c:pt idx="63">
                  <c:v>15.9423439376651</c:v>
                </c:pt>
                <c:pt idx="64">
                  <c:v>16.3488957550436</c:v>
                </c:pt>
                <c:pt idx="65">
                  <c:v>16.764417097854</c:v>
                </c:pt>
                <c:pt idx="66">
                  <c:v>17.1886919158668</c:v>
                </c:pt>
                <c:pt idx="67">
                  <c:v>17.6218787042057</c:v>
                </c:pt>
                <c:pt idx="68">
                  <c:v>18.0641266886871</c:v>
                </c:pt>
                <c:pt idx="69">
                  <c:v>18.5155754795561</c:v>
                </c:pt>
                <c:pt idx="70">
                  <c:v>18.9771172957609</c:v>
                </c:pt>
                <c:pt idx="71">
                  <c:v>19.4490005254114</c:v>
                </c:pt>
                <c:pt idx="72">
                  <c:v>19.9305432726642</c:v>
                </c:pt>
                <c:pt idx="73">
                  <c:v>20.4219185648258</c:v>
                </c:pt>
                <c:pt idx="74">
                  <c:v>20.9250755738926</c:v>
                </c:pt>
                <c:pt idx="75">
                  <c:v>21.4382034950299</c:v>
                </c:pt>
                <c:pt idx="76">
                  <c:v>21.9622323424404</c:v>
                </c:pt>
                <c:pt idx="77">
                  <c:v>22.4977526851207</c:v>
                </c:pt>
                <c:pt idx="78">
                  <c:v>23.0437707206925</c:v>
                </c:pt>
                <c:pt idx="79">
                  <c:v>23.6019910192727</c:v>
                </c:pt>
                <c:pt idx="80">
                  <c:v>24.1708323457438</c:v>
                </c:pt>
                <c:pt idx="81">
                  <c:v>24.7517658340401</c:v>
                </c:pt>
                <c:pt idx="82">
                  <c:v>25.3438287656037</c:v>
                </c:pt>
                <c:pt idx="83">
                  <c:v>25.947138355243</c:v>
                </c:pt>
                <c:pt idx="84">
                  <c:v>26.5622984757444</c:v>
                </c:pt>
                <c:pt idx="85">
                  <c:v>27.1881394333498</c:v>
                </c:pt>
                <c:pt idx="86">
                  <c:v>27.8247337873874</c:v>
                </c:pt>
                <c:pt idx="87">
                  <c:v>28.4723748410524</c:v>
                </c:pt>
                <c:pt idx="88">
                  <c:v>29.1298162160635</c:v>
                </c:pt>
                <c:pt idx="89">
                  <c:v>29.7965731427022</c:v>
                </c:pt>
                <c:pt idx="90">
                  <c:v>30.472001632249</c:v>
                </c:pt>
                <c:pt idx="91">
                  <c:v>31.1554330023587</c:v>
                </c:pt>
                <c:pt idx="92">
                  <c:v>31.8457991546494</c:v>
                </c:pt>
                <c:pt idx="93">
                  <c:v>32.541765181353</c:v>
                </c:pt>
                <c:pt idx="94">
                  <c:v>33.2420492850212</c:v>
                </c:pt>
                <c:pt idx="95">
                  <c:v>33.945236193607</c:v>
                </c:pt>
                <c:pt idx="96">
                  <c:v>34.649799618076</c:v>
                </c:pt>
                <c:pt idx="97">
                  <c:v>35.354088881763</c:v>
                </c:pt>
                <c:pt idx="98">
                  <c:v>36.0560561991454</c:v>
                </c:pt>
                <c:pt idx="99">
                  <c:v>36.75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'Index finger results'!$E$2</c:f>
              <c:strCache>
                <c:ptCount val="1"/>
                <c:pt idx="0">
                  <c:v>Theta3</c:v>
                </c:pt>
              </c:strCache>
            </c:strRef>
          </c:tx>
          <c:spPr>
            <a:ln w="19080" cap="rnd" cmpd="sng" algn="ctr">
              <a:solidFill>
                <a:srgbClr val="FFC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xVal>
            <c:numRef>
              <c:f>'Index finger results'!$A$3:$A$102</c:f>
              <c:numCache>
                <c:formatCode>General</c:formatCode>
                <c:ptCount val="100"/>
                <c:pt idx="0">
                  <c:v>0</c:v>
                </c:pt>
                <c:pt idx="1">
                  <c:v>0.241849953016284</c:v>
                </c:pt>
                <c:pt idx="2">
                  <c:v>0.483699906032567</c:v>
                </c:pt>
                <c:pt idx="3">
                  <c:v>0.725549859048851</c:v>
                </c:pt>
                <c:pt idx="4">
                  <c:v>0.967399812065135</c:v>
                </c:pt>
                <c:pt idx="5">
                  <c:v>1.20924976508143</c:v>
                </c:pt>
                <c:pt idx="6">
                  <c:v>1.45109971809771</c:v>
                </c:pt>
                <c:pt idx="7">
                  <c:v>1.69294967111399</c:v>
                </c:pt>
                <c:pt idx="8">
                  <c:v>1.93479962413028</c:v>
                </c:pt>
                <c:pt idx="9">
                  <c:v>2.17664957714656</c:v>
                </c:pt>
                <c:pt idx="10">
                  <c:v>2.41849953016285</c:v>
                </c:pt>
                <c:pt idx="11">
                  <c:v>2.66034948317913</c:v>
                </c:pt>
                <c:pt idx="12">
                  <c:v>2.90219943619541</c:v>
                </c:pt>
                <c:pt idx="13">
                  <c:v>3.1440493892117</c:v>
                </c:pt>
                <c:pt idx="14">
                  <c:v>3.38589934222798</c:v>
                </c:pt>
                <c:pt idx="15">
                  <c:v>3.62774929524427</c:v>
                </c:pt>
                <c:pt idx="16">
                  <c:v>3.86959924826055</c:v>
                </c:pt>
                <c:pt idx="17">
                  <c:v>4.11144920127684</c:v>
                </c:pt>
                <c:pt idx="18">
                  <c:v>4.35329915429312</c:v>
                </c:pt>
                <c:pt idx="19">
                  <c:v>4.59514910730941</c:v>
                </c:pt>
                <c:pt idx="20">
                  <c:v>4.83699906032569</c:v>
                </c:pt>
                <c:pt idx="21">
                  <c:v>5.07884901334198</c:v>
                </c:pt>
                <c:pt idx="22">
                  <c:v>5.32069896635826</c:v>
                </c:pt>
                <c:pt idx="23">
                  <c:v>5.56254891937455</c:v>
                </c:pt>
                <c:pt idx="24">
                  <c:v>5.80439887239083</c:v>
                </c:pt>
                <c:pt idx="25">
                  <c:v>6.04624882540712</c:v>
                </c:pt>
                <c:pt idx="26">
                  <c:v>6.2880987784234</c:v>
                </c:pt>
                <c:pt idx="27">
                  <c:v>6.52994873143968</c:v>
                </c:pt>
                <c:pt idx="28">
                  <c:v>6.77179868445597</c:v>
                </c:pt>
                <c:pt idx="29">
                  <c:v>7.01364863747226</c:v>
                </c:pt>
                <c:pt idx="30">
                  <c:v>7.25549859048854</c:v>
                </c:pt>
                <c:pt idx="31">
                  <c:v>7.49734854350482</c:v>
                </c:pt>
                <c:pt idx="32">
                  <c:v>7.73919849652111</c:v>
                </c:pt>
                <c:pt idx="33">
                  <c:v>7.98104844953739</c:v>
                </c:pt>
                <c:pt idx="34">
                  <c:v>8.22289840255368</c:v>
                </c:pt>
                <c:pt idx="35">
                  <c:v>8.46474835556996</c:v>
                </c:pt>
                <c:pt idx="36">
                  <c:v>8.70659830858624</c:v>
                </c:pt>
                <c:pt idx="37">
                  <c:v>8.94844826160253</c:v>
                </c:pt>
                <c:pt idx="38">
                  <c:v>9.19029821461882</c:v>
                </c:pt>
                <c:pt idx="39">
                  <c:v>9.4321481676351</c:v>
                </c:pt>
                <c:pt idx="40">
                  <c:v>9.67399812065138</c:v>
                </c:pt>
                <c:pt idx="41">
                  <c:v>9.91584807366767</c:v>
                </c:pt>
                <c:pt idx="42">
                  <c:v>10.157698026684</c:v>
                </c:pt>
                <c:pt idx="43">
                  <c:v>10.3995479797002</c:v>
                </c:pt>
                <c:pt idx="44">
                  <c:v>10.6413979327165</c:v>
                </c:pt>
                <c:pt idx="45">
                  <c:v>10.8832478857328</c:v>
                </c:pt>
                <c:pt idx="46">
                  <c:v>11.1250978387491</c:v>
                </c:pt>
                <c:pt idx="47">
                  <c:v>11.3669477917654</c:v>
                </c:pt>
                <c:pt idx="48">
                  <c:v>11.6087977447817</c:v>
                </c:pt>
                <c:pt idx="49">
                  <c:v>11.8506476977979</c:v>
                </c:pt>
                <c:pt idx="50">
                  <c:v>12.0924976508142</c:v>
                </c:pt>
                <c:pt idx="51">
                  <c:v>12.3343476038305</c:v>
                </c:pt>
                <c:pt idx="52">
                  <c:v>12.5761975568468</c:v>
                </c:pt>
                <c:pt idx="53">
                  <c:v>12.8180475098631</c:v>
                </c:pt>
                <c:pt idx="54">
                  <c:v>13.0598974628794</c:v>
                </c:pt>
                <c:pt idx="55">
                  <c:v>13.3017474158957</c:v>
                </c:pt>
                <c:pt idx="56">
                  <c:v>13.5435973689119</c:v>
                </c:pt>
                <c:pt idx="57">
                  <c:v>13.7854473219282</c:v>
                </c:pt>
                <c:pt idx="58">
                  <c:v>14.0272972749445</c:v>
                </c:pt>
                <c:pt idx="59">
                  <c:v>14.2691472279608</c:v>
                </c:pt>
                <c:pt idx="60">
                  <c:v>14.5109971809771</c:v>
                </c:pt>
                <c:pt idx="61">
                  <c:v>14.7528471339934</c:v>
                </c:pt>
                <c:pt idx="62">
                  <c:v>14.9946970870096</c:v>
                </c:pt>
                <c:pt idx="63">
                  <c:v>15.2365470400259</c:v>
                </c:pt>
                <c:pt idx="64">
                  <c:v>15.4783969930422</c:v>
                </c:pt>
                <c:pt idx="65">
                  <c:v>15.7202469460585</c:v>
                </c:pt>
                <c:pt idx="66">
                  <c:v>15.9620968990748</c:v>
                </c:pt>
                <c:pt idx="67">
                  <c:v>16.2039468520911</c:v>
                </c:pt>
                <c:pt idx="68">
                  <c:v>16.4457968051074</c:v>
                </c:pt>
                <c:pt idx="69">
                  <c:v>16.6876467581236</c:v>
                </c:pt>
                <c:pt idx="70">
                  <c:v>16.9294967111399</c:v>
                </c:pt>
                <c:pt idx="71">
                  <c:v>17.1713466641562</c:v>
                </c:pt>
                <c:pt idx="72">
                  <c:v>17.4131966171725</c:v>
                </c:pt>
                <c:pt idx="73">
                  <c:v>17.6550465701888</c:v>
                </c:pt>
                <c:pt idx="74">
                  <c:v>17.8968965232051</c:v>
                </c:pt>
                <c:pt idx="75">
                  <c:v>18.1387464762214</c:v>
                </c:pt>
                <c:pt idx="76">
                  <c:v>18.3805964292376</c:v>
                </c:pt>
                <c:pt idx="77">
                  <c:v>18.6224463822539</c:v>
                </c:pt>
                <c:pt idx="78">
                  <c:v>18.8642963352702</c:v>
                </c:pt>
                <c:pt idx="79">
                  <c:v>19.1061462882865</c:v>
                </c:pt>
                <c:pt idx="80">
                  <c:v>19.3479962413028</c:v>
                </c:pt>
                <c:pt idx="81">
                  <c:v>19.5898461943191</c:v>
                </c:pt>
                <c:pt idx="82">
                  <c:v>19.8316961473353</c:v>
                </c:pt>
                <c:pt idx="83">
                  <c:v>20.0735461003516</c:v>
                </c:pt>
                <c:pt idx="84">
                  <c:v>20.3153960533679</c:v>
                </c:pt>
                <c:pt idx="85">
                  <c:v>20.5572460063842</c:v>
                </c:pt>
                <c:pt idx="86">
                  <c:v>20.7990959594005</c:v>
                </c:pt>
                <c:pt idx="87">
                  <c:v>21.0409459124168</c:v>
                </c:pt>
                <c:pt idx="88">
                  <c:v>21.282795865433</c:v>
                </c:pt>
                <c:pt idx="89">
                  <c:v>21.5246458184493</c:v>
                </c:pt>
                <c:pt idx="90">
                  <c:v>21.7664957714656</c:v>
                </c:pt>
                <c:pt idx="91">
                  <c:v>22.0083457244819</c:v>
                </c:pt>
                <c:pt idx="92">
                  <c:v>22.2501956774982</c:v>
                </c:pt>
                <c:pt idx="93">
                  <c:v>22.4920456305145</c:v>
                </c:pt>
                <c:pt idx="94">
                  <c:v>22.7338955835308</c:v>
                </c:pt>
                <c:pt idx="95">
                  <c:v>22.975745536547</c:v>
                </c:pt>
                <c:pt idx="96">
                  <c:v>23.2175954895633</c:v>
                </c:pt>
                <c:pt idx="97">
                  <c:v>23.4594454425796</c:v>
                </c:pt>
                <c:pt idx="98">
                  <c:v>23.7012953955959</c:v>
                </c:pt>
                <c:pt idx="99">
                  <c:v>23.9431453486122</c:v>
                </c:pt>
              </c:numCache>
            </c:numRef>
          </c:xVal>
          <c:yVal>
            <c:numRef>
              <c:f>'Index finger results'!$E$3:$E$102</c:f>
              <c:numCache>
                <c:formatCode>General</c:formatCode>
                <c:ptCount val="100"/>
                <c:pt idx="0">
                  <c:v>0</c:v>
                </c:pt>
                <c:pt idx="1">
                  <c:v>0.130663448992178</c:v>
                </c:pt>
                <c:pt idx="2">
                  <c:v>0.261192624465431</c:v>
                </c:pt>
                <c:pt idx="3">
                  <c:v>0.390589509029306</c:v>
                </c:pt>
                <c:pt idx="4">
                  <c:v>0.519842551119913</c:v>
                </c:pt>
                <c:pt idx="5">
                  <c:v>0.648496022205405</c:v>
                </c:pt>
                <c:pt idx="6">
                  <c:v>0.777074020889348</c:v>
                </c:pt>
                <c:pt idx="7">
                  <c:v>0.905447874515273</c:v>
                </c:pt>
                <c:pt idx="8">
                  <c:v>1.03386781042937</c:v>
                </c:pt>
                <c:pt idx="9">
                  <c:v>1.16237634966813</c:v>
                </c:pt>
                <c:pt idx="10">
                  <c:v>1.29109614937414</c:v>
                </c:pt>
                <c:pt idx="11">
                  <c:v>1.42011203658185</c:v>
                </c:pt>
                <c:pt idx="12">
                  <c:v>1.54954876806869</c:v>
                </c:pt>
                <c:pt idx="13">
                  <c:v>1.67940933592303</c:v>
                </c:pt>
                <c:pt idx="14">
                  <c:v>1.80995238265445</c:v>
                </c:pt>
                <c:pt idx="15">
                  <c:v>1.94096474944762</c:v>
                </c:pt>
                <c:pt idx="16">
                  <c:v>2.07298527829178</c:v>
                </c:pt>
                <c:pt idx="17">
                  <c:v>2.2054305256858</c:v>
                </c:pt>
                <c:pt idx="18">
                  <c:v>2.33928820361761</c:v>
                </c:pt>
                <c:pt idx="19">
                  <c:v>2.47342481231764</c:v>
                </c:pt>
                <c:pt idx="20">
                  <c:v>2.60947247363244</c:v>
                </c:pt>
                <c:pt idx="21">
                  <c:v>2.74590784217265</c:v>
                </c:pt>
                <c:pt idx="22">
                  <c:v>2.88412595162644</c:v>
                </c:pt>
                <c:pt idx="23">
                  <c:v>3.02324196807088</c:v>
                </c:pt>
                <c:pt idx="24">
                  <c:v>3.16381741585909</c:v>
                </c:pt>
                <c:pt idx="25">
                  <c:v>3.30597473113511</c:v>
                </c:pt>
                <c:pt idx="26">
                  <c:v>3.44909969517513</c:v>
                </c:pt>
                <c:pt idx="27">
                  <c:v>3.59465754460344</c:v>
                </c:pt>
                <c:pt idx="28">
                  <c:v>3.7410759769854</c:v>
                </c:pt>
                <c:pt idx="29">
                  <c:v>3.88982836070286</c:v>
                </c:pt>
                <c:pt idx="30">
                  <c:v>4.04020376643384</c:v>
                </c:pt>
                <c:pt idx="31">
                  <c:v>4.19201279446416</c:v>
                </c:pt>
                <c:pt idx="32">
                  <c:v>4.34670980382401</c:v>
                </c:pt>
                <c:pt idx="33">
                  <c:v>4.50274343251526</c:v>
                </c:pt>
                <c:pt idx="34">
                  <c:v>4.66110526973566</c:v>
                </c:pt>
                <c:pt idx="35">
                  <c:v>4.82204787489791</c:v>
                </c:pt>
                <c:pt idx="36">
                  <c:v>4.98465579327655</c:v>
                </c:pt>
                <c:pt idx="37">
                  <c:v>5.15010301236055</c:v>
                </c:pt>
                <c:pt idx="38">
                  <c:v>5.31821967534898</c:v>
                </c:pt>
                <c:pt idx="39">
                  <c:v>5.4883654872092</c:v>
                </c:pt>
                <c:pt idx="40">
                  <c:v>5.66137426992287</c:v>
                </c:pt>
                <c:pt idx="41">
                  <c:v>5.83763047100806</c:v>
                </c:pt>
                <c:pt idx="42">
                  <c:v>6.01630154747971</c:v>
                </c:pt>
                <c:pt idx="43">
                  <c:v>6.19753724026909</c:v>
                </c:pt>
                <c:pt idx="44">
                  <c:v>6.38267461976509</c:v>
                </c:pt>
                <c:pt idx="45">
                  <c:v>6.57086206351356</c:v>
                </c:pt>
                <c:pt idx="46">
                  <c:v>6.76201760952604</c:v>
                </c:pt>
                <c:pt idx="47">
                  <c:v>6.95630194977099</c:v>
                </c:pt>
                <c:pt idx="48">
                  <c:v>7.15438426635664</c:v>
                </c:pt>
                <c:pt idx="49">
                  <c:v>7.35643523611934</c:v>
                </c:pt>
                <c:pt idx="50">
                  <c:v>7.56201641377919</c:v>
                </c:pt>
                <c:pt idx="51">
                  <c:v>7.77129004331695</c:v>
                </c:pt>
                <c:pt idx="52">
                  <c:v>7.98441857724898</c:v>
                </c:pt>
                <c:pt idx="53">
                  <c:v>8.20156390922961</c:v>
                </c:pt>
                <c:pt idx="54">
                  <c:v>8.42288668686134</c:v>
                </c:pt>
                <c:pt idx="55">
                  <c:v>8.64882036427237</c:v>
                </c:pt>
                <c:pt idx="56">
                  <c:v>8.87932914888721</c:v>
                </c:pt>
                <c:pt idx="57">
                  <c:v>9.11438026175598</c:v>
                </c:pt>
                <c:pt idx="58">
                  <c:v>9.35412377106954</c:v>
                </c:pt>
                <c:pt idx="59">
                  <c:v>9.59870647869473</c:v>
                </c:pt>
                <c:pt idx="60">
                  <c:v>9.84827151351058</c:v>
                </c:pt>
                <c:pt idx="61">
                  <c:v>10.1029579640379</c:v>
                </c:pt>
                <c:pt idx="62">
                  <c:v>10.3629005448863</c:v>
                </c:pt>
                <c:pt idx="63">
                  <c:v>10.6282292917768</c:v>
                </c:pt>
                <c:pt idx="64">
                  <c:v>10.8992638366957</c:v>
                </c:pt>
                <c:pt idx="65">
                  <c:v>11.176278065236</c:v>
                </c:pt>
                <c:pt idx="66">
                  <c:v>11.4591279439112</c:v>
                </c:pt>
                <c:pt idx="67">
                  <c:v>11.7479191361372</c:v>
                </c:pt>
                <c:pt idx="68">
                  <c:v>12.0427511257914</c:v>
                </c:pt>
                <c:pt idx="69">
                  <c:v>12.3437169863707</c:v>
                </c:pt>
                <c:pt idx="70">
                  <c:v>12.6514115305073</c:v>
                </c:pt>
                <c:pt idx="71">
                  <c:v>12.9660003502743</c:v>
                </c:pt>
                <c:pt idx="72">
                  <c:v>13.2870288484428</c:v>
                </c:pt>
                <c:pt idx="73">
                  <c:v>13.6146123765505</c:v>
                </c:pt>
                <c:pt idx="74">
                  <c:v>13.950050382595</c:v>
                </c:pt>
                <c:pt idx="75">
                  <c:v>14.2921356633532</c:v>
                </c:pt>
                <c:pt idx="76">
                  <c:v>14.6414882282936</c:v>
                </c:pt>
                <c:pt idx="77">
                  <c:v>14.9985017900805</c:v>
                </c:pt>
                <c:pt idx="78">
                  <c:v>15.362513813795</c:v>
                </c:pt>
                <c:pt idx="79">
                  <c:v>15.7346606795151</c:v>
                </c:pt>
                <c:pt idx="80">
                  <c:v>16.1138882304959</c:v>
                </c:pt>
                <c:pt idx="81">
                  <c:v>16.5011772226934</c:v>
                </c:pt>
                <c:pt idx="82">
                  <c:v>16.8958858437358</c:v>
                </c:pt>
                <c:pt idx="83">
                  <c:v>17.2980922368287</c:v>
                </c:pt>
                <c:pt idx="84">
                  <c:v>17.7081989838296</c:v>
                </c:pt>
                <c:pt idx="85">
                  <c:v>18.1254262888998</c:v>
                </c:pt>
                <c:pt idx="86">
                  <c:v>18.5498225249249</c:v>
                </c:pt>
                <c:pt idx="87">
                  <c:v>18.9815832273682</c:v>
                </c:pt>
                <c:pt idx="88">
                  <c:v>19.4198774773756</c:v>
                </c:pt>
                <c:pt idx="89">
                  <c:v>19.8643820951348</c:v>
                </c:pt>
                <c:pt idx="90">
                  <c:v>20.3146677548327</c:v>
                </c:pt>
                <c:pt idx="91">
                  <c:v>20.7702886682391</c:v>
                </c:pt>
                <c:pt idx="92">
                  <c:v>21.2305327697662</c:v>
                </c:pt>
                <c:pt idx="93">
                  <c:v>21.694510120902</c:v>
                </c:pt>
                <c:pt idx="94">
                  <c:v>22.1613661900142</c:v>
                </c:pt>
                <c:pt idx="95">
                  <c:v>22.6301574624047</c:v>
                </c:pt>
                <c:pt idx="96">
                  <c:v>23.0998664120507</c:v>
                </c:pt>
                <c:pt idx="97">
                  <c:v>23.569392587842</c:v>
                </c:pt>
                <c:pt idx="98">
                  <c:v>24.0373707994303</c:v>
                </c:pt>
                <c:pt idx="99">
                  <c:v>24.5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'Index finger results'!$F$2</c:f>
              <c:strCache>
                <c:ptCount val="1"/>
                <c:pt idx="0">
                  <c:v>45 deg deflection line</c:v>
                </c:pt>
              </c:strCache>
            </c:strRef>
          </c:tx>
          <c:spPr>
            <a:ln w="12600" cap="rnd" cmpd="sng" algn="ctr">
              <a:solidFill>
                <a:srgbClr val="4472C4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xVal>
            <c:numRef>
              <c:f>'Index finger results'!$A$3:$A$102</c:f>
              <c:numCache>
                <c:formatCode>General</c:formatCode>
                <c:ptCount val="100"/>
                <c:pt idx="0">
                  <c:v>0</c:v>
                </c:pt>
                <c:pt idx="1">
                  <c:v>0.241849953016284</c:v>
                </c:pt>
                <c:pt idx="2">
                  <c:v>0.483699906032567</c:v>
                </c:pt>
                <c:pt idx="3">
                  <c:v>0.725549859048851</c:v>
                </c:pt>
                <c:pt idx="4">
                  <c:v>0.967399812065135</c:v>
                </c:pt>
                <c:pt idx="5">
                  <c:v>1.20924976508143</c:v>
                </c:pt>
                <c:pt idx="6">
                  <c:v>1.45109971809771</c:v>
                </c:pt>
                <c:pt idx="7">
                  <c:v>1.69294967111399</c:v>
                </c:pt>
                <c:pt idx="8">
                  <c:v>1.93479962413028</c:v>
                </c:pt>
                <c:pt idx="9">
                  <c:v>2.17664957714656</c:v>
                </c:pt>
                <c:pt idx="10">
                  <c:v>2.41849953016285</c:v>
                </c:pt>
                <c:pt idx="11">
                  <c:v>2.66034948317913</c:v>
                </c:pt>
                <c:pt idx="12">
                  <c:v>2.90219943619541</c:v>
                </c:pt>
                <c:pt idx="13">
                  <c:v>3.1440493892117</c:v>
                </c:pt>
                <c:pt idx="14">
                  <c:v>3.38589934222798</c:v>
                </c:pt>
                <c:pt idx="15">
                  <c:v>3.62774929524427</c:v>
                </c:pt>
                <c:pt idx="16">
                  <c:v>3.86959924826055</c:v>
                </c:pt>
                <c:pt idx="17">
                  <c:v>4.11144920127684</c:v>
                </c:pt>
                <c:pt idx="18">
                  <c:v>4.35329915429312</c:v>
                </c:pt>
                <c:pt idx="19">
                  <c:v>4.59514910730941</c:v>
                </c:pt>
                <c:pt idx="20">
                  <c:v>4.83699906032569</c:v>
                </c:pt>
                <c:pt idx="21">
                  <c:v>5.07884901334198</c:v>
                </c:pt>
                <c:pt idx="22">
                  <c:v>5.32069896635826</c:v>
                </c:pt>
                <c:pt idx="23">
                  <c:v>5.56254891937455</c:v>
                </c:pt>
                <c:pt idx="24">
                  <c:v>5.80439887239083</c:v>
                </c:pt>
                <c:pt idx="25">
                  <c:v>6.04624882540712</c:v>
                </c:pt>
                <c:pt idx="26">
                  <c:v>6.2880987784234</c:v>
                </c:pt>
                <c:pt idx="27">
                  <c:v>6.52994873143968</c:v>
                </c:pt>
                <c:pt idx="28">
                  <c:v>6.77179868445597</c:v>
                </c:pt>
                <c:pt idx="29">
                  <c:v>7.01364863747226</c:v>
                </c:pt>
                <c:pt idx="30">
                  <c:v>7.25549859048854</c:v>
                </c:pt>
                <c:pt idx="31">
                  <c:v>7.49734854350482</c:v>
                </c:pt>
                <c:pt idx="32">
                  <c:v>7.73919849652111</c:v>
                </c:pt>
                <c:pt idx="33">
                  <c:v>7.98104844953739</c:v>
                </c:pt>
                <c:pt idx="34">
                  <c:v>8.22289840255368</c:v>
                </c:pt>
                <c:pt idx="35">
                  <c:v>8.46474835556996</c:v>
                </c:pt>
                <c:pt idx="36">
                  <c:v>8.70659830858624</c:v>
                </c:pt>
                <c:pt idx="37">
                  <c:v>8.94844826160253</c:v>
                </c:pt>
                <c:pt idx="38">
                  <c:v>9.19029821461882</c:v>
                </c:pt>
                <c:pt idx="39">
                  <c:v>9.4321481676351</c:v>
                </c:pt>
                <c:pt idx="40">
                  <c:v>9.67399812065138</c:v>
                </c:pt>
                <c:pt idx="41">
                  <c:v>9.91584807366767</c:v>
                </c:pt>
                <c:pt idx="42">
                  <c:v>10.157698026684</c:v>
                </c:pt>
                <c:pt idx="43">
                  <c:v>10.3995479797002</c:v>
                </c:pt>
                <c:pt idx="44">
                  <c:v>10.6413979327165</c:v>
                </c:pt>
                <c:pt idx="45">
                  <c:v>10.8832478857328</c:v>
                </c:pt>
                <c:pt idx="46">
                  <c:v>11.1250978387491</c:v>
                </c:pt>
                <c:pt idx="47">
                  <c:v>11.3669477917654</c:v>
                </c:pt>
                <c:pt idx="48">
                  <c:v>11.6087977447817</c:v>
                </c:pt>
                <c:pt idx="49">
                  <c:v>11.8506476977979</c:v>
                </c:pt>
                <c:pt idx="50">
                  <c:v>12.0924976508142</c:v>
                </c:pt>
                <c:pt idx="51">
                  <c:v>12.3343476038305</c:v>
                </c:pt>
                <c:pt idx="52">
                  <c:v>12.5761975568468</c:v>
                </c:pt>
                <c:pt idx="53">
                  <c:v>12.8180475098631</c:v>
                </c:pt>
                <c:pt idx="54">
                  <c:v>13.0598974628794</c:v>
                </c:pt>
                <c:pt idx="55">
                  <c:v>13.3017474158957</c:v>
                </c:pt>
                <c:pt idx="56">
                  <c:v>13.5435973689119</c:v>
                </c:pt>
                <c:pt idx="57">
                  <c:v>13.7854473219282</c:v>
                </c:pt>
                <c:pt idx="58">
                  <c:v>14.0272972749445</c:v>
                </c:pt>
                <c:pt idx="59">
                  <c:v>14.2691472279608</c:v>
                </c:pt>
                <c:pt idx="60">
                  <c:v>14.5109971809771</c:v>
                </c:pt>
                <c:pt idx="61">
                  <c:v>14.7528471339934</c:v>
                </c:pt>
                <c:pt idx="62">
                  <c:v>14.9946970870096</c:v>
                </c:pt>
                <c:pt idx="63">
                  <c:v>15.2365470400259</c:v>
                </c:pt>
                <c:pt idx="64">
                  <c:v>15.4783969930422</c:v>
                </c:pt>
                <c:pt idx="65">
                  <c:v>15.7202469460585</c:v>
                </c:pt>
                <c:pt idx="66">
                  <c:v>15.9620968990748</c:v>
                </c:pt>
                <c:pt idx="67">
                  <c:v>16.2039468520911</c:v>
                </c:pt>
                <c:pt idx="68">
                  <c:v>16.4457968051074</c:v>
                </c:pt>
                <c:pt idx="69">
                  <c:v>16.6876467581236</c:v>
                </c:pt>
                <c:pt idx="70">
                  <c:v>16.9294967111399</c:v>
                </c:pt>
                <c:pt idx="71">
                  <c:v>17.1713466641562</c:v>
                </c:pt>
                <c:pt idx="72">
                  <c:v>17.4131966171725</c:v>
                </c:pt>
                <c:pt idx="73">
                  <c:v>17.6550465701888</c:v>
                </c:pt>
                <c:pt idx="74">
                  <c:v>17.8968965232051</c:v>
                </c:pt>
                <c:pt idx="75">
                  <c:v>18.1387464762214</c:v>
                </c:pt>
                <c:pt idx="76">
                  <c:v>18.3805964292376</c:v>
                </c:pt>
                <c:pt idx="77">
                  <c:v>18.6224463822539</c:v>
                </c:pt>
                <c:pt idx="78">
                  <c:v>18.8642963352702</c:v>
                </c:pt>
                <c:pt idx="79">
                  <c:v>19.1061462882865</c:v>
                </c:pt>
                <c:pt idx="80">
                  <c:v>19.3479962413028</c:v>
                </c:pt>
                <c:pt idx="81">
                  <c:v>19.5898461943191</c:v>
                </c:pt>
                <c:pt idx="82">
                  <c:v>19.8316961473353</c:v>
                </c:pt>
                <c:pt idx="83">
                  <c:v>20.0735461003516</c:v>
                </c:pt>
                <c:pt idx="84">
                  <c:v>20.3153960533679</c:v>
                </c:pt>
                <c:pt idx="85">
                  <c:v>20.5572460063842</c:v>
                </c:pt>
                <c:pt idx="86">
                  <c:v>20.7990959594005</c:v>
                </c:pt>
                <c:pt idx="87">
                  <c:v>21.0409459124168</c:v>
                </c:pt>
                <c:pt idx="88">
                  <c:v>21.282795865433</c:v>
                </c:pt>
                <c:pt idx="89">
                  <c:v>21.5246458184493</c:v>
                </c:pt>
                <c:pt idx="90">
                  <c:v>21.7664957714656</c:v>
                </c:pt>
                <c:pt idx="91">
                  <c:v>22.0083457244819</c:v>
                </c:pt>
                <c:pt idx="92">
                  <c:v>22.2501956774982</c:v>
                </c:pt>
                <c:pt idx="93">
                  <c:v>22.4920456305145</c:v>
                </c:pt>
                <c:pt idx="94">
                  <c:v>22.7338955835308</c:v>
                </c:pt>
                <c:pt idx="95">
                  <c:v>22.975745536547</c:v>
                </c:pt>
                <c:pt idx="96">
                  <c:v>23.2175954895633</c:v>
                </c:pt>
                <c:pt idx="97">
                  <c:v>23.4594454425796</c:v>
                </c:pt>
                <c:pt idx="98">
                  <c:v>23.7012953955959</c:v>
                </c:pt>
                <c:pt idx="99">
                  <c:v>23.9431453486122</c:v>
                </c:pt>
              </c:numCache>
            </c:numRef>
          </c:xVal>
          <c:yVal>
            <c:numRef>
              <c:f>'Index finger results'!$F$3:$F$102</c:f>
              <c:numCache>
                <c:formatCode>General</c:formatCode>
                <c:ptCount val="10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45</c:v>
                </c:pt>
                <c:pt idx="7">
                  <c:v>45</c:v>
                </c:pt>
                <c:pt idx="8">
                  <c:v>45</c:v>
                </c:pt>
                <c:pt idx="9">
                  <c:v>45</c:v>
                </c:pt>
                <c:pt idx="10">
                  <c:v>45</c:v>
                </c:pt>
                <c:pt idx="11">
                  <c:v>45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45</c:v>
                </c:pt>
                <c:pt idx="17">
                  <c:v>45</c:v>
                </c:pt>
                <c:pt idx="18">
                  <c:v>45</c:v>
                </c:pt>
                <c:pt idx="19">
                  <c:v>45</c:v>
                </c:pt>
                <c:pt idx="20">
                  <c:v>45</c:v>
                </c:pt>
                <c:pt idx="21">
                  <c:v>45</c:v>
                </c:pt>
                <c:pt idx="22">
                  <c:v>45</c:v>
                </c:pt>
                <c:pt idx="23">
                  <c:v>45</c:v>
                </c:pt>
                <c:pt idx="24">
                  <c:v>45</c:v>
                </c:pt>
                <c:pt idx="25">
                  <c:v>45</c:v>
                </c:pt>
                <c:pt idx="26">
                  <c:v>45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45</c:v>
                </c:pt>
                <c:pt idx="31">
                  <c:v>45</c:v>
                </c:pt>
                <c:pt idx="32">
                  <c:v>45</c:v>
                </c:pt>
                <c:pt idx="33">
                  <c:v>45</c:v>
                </c:pt>
                <c:pt idx="34">
                  <c:v>45</c:v>
                </c:pt>
                <c:pt idx="35">
                  <c:v>45</c:v>
                </c:pt>
                <c:pt idx="36">
                  <c:v>45</c:v>
                </c:pt>
                <c:pt idx="37">
                  <c:v>45</c:v>
                </c:pt>
                <c:pt idx="38">
                  <c:v>45</c:v>
                </c:pt>
                <c:pt idx="39">
                  <c:v>45</c:v>
                </c:pt>
                <c:pt idx="40">
                  <c:v>45</c:v>
                </c:pt>
                <c:pt idx="41">
                  <c:v>45</c:v>
                </c:pt>
                <c:pt idx="42">
                  <c:v>45</c:v>
                </c:pt>
                <c:pt idx="43">
                  <c:v>45</c:v>
                </c:pt>
                <c:pt idx="44">
                  <c:v>45</c:v>
                </c:pt>
                <c:pt idx="45">
                  <c:v>45</c:v>
                </c:pt>
                <c:pt idx="46">
                  <c:v>45</c:v>
                </c:pt>
                <c:pt idx="47">
                  <c:v>45</c:v>
                </c:pt>
                <c:pt idx="48">
                  <c:v>45</c:v>
                </c:pt>
                <c:pt idx="49">
                  <c:v>45</c:v>
                </c:pt>
                <c:pt idx="50">
                  <c:v>45</c:v>
                </c:pt>
                <c:pt idx="51">
                  <c:v>45</c:v>
                </c:pt>
                <c:pt idx="52">
                  <c:v>45</c:v>
                </c:pt>
                <c:pt idx="53">
                  <c:v>45</c:v>
                </c:pt>
                <c:pt idx="54">
                  <c:v>45</c:v>
                </c:pt>
                <c:pt idx="55">
                  <c:v>45</c:v>
                </c:pt>
                <c:pt idx="56">
                  <c:v>45</c:v>
                </c:pt>
                <c:pt idx="57">
                  <c:v>45</c:v>
                </c:pt>
                <c:pt idx="58">
                  <c:v>45</c:v>
                </c:pt>
                <c:pt idx="59">
                  <c:v>45</c:v>
                </c:pt>
                <c:pt idx="60">
                  <c:v>45</c:v>
                </c:pt>
                <c:pt idx="61">
                  <c:v>45</c:v>
                </c:pt>
                <c:pt idx="62">
                  <c:v>45</c:v>
                </c:pt>
                <c:pt idx="63">
                  <c:v>45</c:v>
                </c:pt>
                <c:pt idx="64">
                  <c:v>45</c:v>
                </c:pt>
                <c:pt idx="65">
                  <c:v>45</c:v>
                </c:pt>
                <c:pt idx="66">
                  <c:v>45</c:v>
                </c:pt>
                <c:pt idx="67">
                  <c:v>45</c:v>
                </c:pt>
                <c:pt idx="68">
                  <c:v>45</c:v>
                </c:pt>
                <c:pt idx="69">
                  <c:v>45</c:v>
                </c:pt>
                <c:pt idx="70">
                  <c:v>45</c:v>
                </c:pt>
                <c:pt idx="71">
                  <c:v>45</c:v>
                </c:pt>
                <c:pt idx="72">
                  <c:v>45</c:v>
                </c:pt>
                <c:pt idx="73">
                  <c:v>45</c:v>
                </c:pt>
                <c:pt idx="74">
                  <c:v>45</c:v>
                </c:pt>
                <c:pt idx="75">
                  <c:v>45</c:v>
                </c:pt>
                <c:pt idx="76">
                  <c:v>45</c:v>
                </c:pt>
                <c:pt idx="77">
                  <c:v>45</c:v>
                </c:pt>
                <c:pt idx="78">
                  <c:v>45</c:v>
                </c:pt>
                <c:pt idx="79">
                  <c:v>45</c:v>
                </c:pt>
                <c:pt idx="80">
                  <c:v>45</c:v>
                </c:pt>
                <c:pt idx="81">
                  <c:v>45</c:v>
                </c:pt>
                <c:pt idx="82">
                  <c:v>45</c:v>
                </c:pt>
                <c:pt idx="83">
                  <c:v>45</c:v>
                </c:pt>
                <c:pt idx="84">
                  <c:v>45</c:v>
                </c:pt>
                <c:pt idx="85">
                  <c:v>45</c:v>
                </c:pt>
                <c:pt idx="86">
                  <c:v>45</c:v>
                </c:pt>
                <c:pt idx="87">
                  <c:v>45</c:v>
                </c:pt>
                <c:pt idx="88">
                  <c:v>45</c:v>
                </c:pt>
                <c:pt idx="89">
                  <c:v>45</c:v>
                </c:pt>
                <c:pt idx="90">
                  <c:v>45</c:v>
                </c:pt>
                <c:pt idx="91">
                  <c:v>45</c:v>
                </c:pt>
                <c:pt idx="92">
                  <c:v>45</c:v>
                </c:pt>
                <c:pt idx="93">
                  <c:v>45</c:v>
                </c:pt>
                <c:pt idx="94">
                  <c:v>45</c:v>
                </c:pt>
                <c:pt idx="95">
                  <c:v>45</c:v>
                </c:pt>
                <c:pt idx="96">
                  <c:v>45</c:v>
                </c:pt>
                <c:pt idx="97">
                  <c:v>45</c:v>
                </c:pt>
                <c:pt idx="98">
                  <c:v>45</c:v>
                </c:pt>
                <c:pt idx="99">
                  <c:v>45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axId val="27521132"/>
        <c:axId val="18035"/>
      </c:scatterChart>
      <c:valAx>
        <c:axId val="27521132"/>
        <c:scaling>
          <c:orientation val="minMax"/>
          <c:max val="25"/>
        </c:scaling>
        <c:delete val="0"/>
        <c:axPos val="b"/>
        <c:majorGridlines>
          <c:spPr>
            <a:ln w="9360" cap="flat" cmpd="sng" algn="ctr">
              <a:solidFill>
                <a:srgbClr val="D9D9D9"/>
              </a:solidFill>
              <a:prstDash val="solid"/>
              <a:round/>
            </a:ln>
          </c:spPr>
        </c:majorGridlines>
        <c:minorGridlines>
          <c:spPr>
            <a:ln w="9360" cap="flat" cmpd="sng" algn="ctr">
              <a:solidFill>
                <a:srgbClr val="F2F2F2"/>
              </a:solidFill>
              <a:prstDash val="solid"/>
              <a:round/>
            </a:ln>
          </c:spPr>
        </c:minorGridlines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IN" sz="1000" b="0" i="0" u="none" strike="noStrike" kern="1200" spc="-1" baseline="0">
                    <a:solidFill>
                      <a:srgbClr val="595959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lang="en-IN" sz="1000" b="0" strike="noStrike" spc="-1">
                    <a:solidFill>
                      <a:srgbClr val="595959"/>
                    </a:solidFill>
                    <a:latin typeface="Calibri" panose="020F0502020204030204"/>
                  </a:rPr>
                  <a:t>Actuator displacement (mm)</a:t>
                </a:r>
                <a:endParaRPr lang="en-IN" sz="1000" b="0" strike="noStrike" spc="-1">
                  <a:solidFill>
                    <a:srgbClr val="595959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BFBFB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spc="-1" baseline="0">
                <a:solidFill>
                  <a:srgbClr val="595959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18035"/>
        <c:crosses val="autoZero"/>
        <c:crossBetween val="midCat"/>
      </c:valAx>
      <c:valAx>
        <c:axId val="18035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D9D9D9"/>
              </a:solidFill>
              <a:prstDash val="solid"/>
              <a:round/>
            </a:ln>
          </c:spPr>
        </c:majorGridlines>
        <c:minorGridlines>
          <c:spPr>
            <a:ln w="9360" cap="flat" cmpd="sng" algn="ctr">
              <a:solidFill>
                <a:srgbClr val="F2F2F2"/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IN" sz="1000" b="0" i="0" u="none" strike="noStrike" kern="1200" spc="-1" baseline="0">
                    <a:solidFill>
                      <a:srgbClr val="595959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lang="en-IN" sz="1000" b="0" strike="noStrike" spc="-1">
                    <a:solidFill>
                      <a:srgbClr val="595959"/>
                    </a:solidFill>
                    <a:latin typeface="Calibri" panose="020F0502020204030204"/>
                  </a:rPr>
                  <a:t>Magnitude of angular displacement (deg)</a:t>
                </a:r>
                <a:endParaRPr lang="en-IN" sz="1000" b="0" strike="noStrike" spc="-1">
                  <a:solidFill>
                    <a:srgbClr val="595959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BFBFB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spc="-1" baseline="0">
                <a:solidFill>
                  <a:srgbClr val="595959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27521132"/>
        <c:crosses val="autoZero"/>
        <c:crossBetween val="midCat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spc="-1" baseline="0">
              <a:solidFill>
                <a:srgbClr val="595959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IN" sz="1400" b="0" i="0" u="none" strike="noStrike" kern="1200" spc="-1" baseline="0">
                <a:solidFill>
                  <a:srgbClr val="595959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lang="en-IN" sz="1400" b="0" strike="noStrike" spc="-1">
                <a:solidFill>
                  <a:srgbClr val="595959"/>
                </a:solidFill>
                <a:latin typeface="Calibri" panose="020F0502020204030204"/>
              </a:rPr>
              <a:t>Allowed angular deflections after length optimization</a:t>
            </a:r>
            <a:endParaRPr lang="en-IN" sz="1400" b="0" strike="noStrike" spc="-1">
              <a:solidFill>
                <a:srgbClr val="595959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scatterChart>
        <c:scatterStyle val="line"/>
        <c:varyColors val="0"/>
        <c:ser>
          <c:idx val="0"/>
          <c:order val="0"/>
          <c:tx>
            <c:strRef>
              <c:f>'Index finger results'!$I$2</c:f>
              <c:strCache>
                <c:ptCount val="1"/>
                <c:pt idx="0">
                  <c:v>Theta0</c:v>
                </c:pt>
              </c:strCache>
            </c:strRef>
          </c:tx>
          <c:spPr>
            <a:ln w="19080" cap="rnd" cmpd="sng" algn="ctr">
              <a:solidFill>
                <a:srgbClr val="5B9BD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xVal>
            <c:numRef>
              <c:f>'Index finger results'!$H$3:$H$102</c:f>
              <c:numCache>
                <c:formatCode>General</c:formatCode>
                <c:ptCount val="100"/>
                <c:pt idx="0">
                  <c:v>0</c:v>
                </c:pt>
                <c:pt idx="1">
                  <c:v>0.317247604164523</c:v>
                </c:pt>
                <c:pt idx="2">
                  <c:v>0.634495208329046</c:v>
                </c:pt>
                <c:pt idx="3">
                  <c:v>0.95174281249357</c:v>
                </c:pt>
                <c:pt idx="4">
                  <c:v>1.26899041665809</c:v>
                </c:pt>
                <c:pt idx="5">
                  <c:v>1.58623802082262</c:v>
                </c:pt>
                <c:pt idx="6">
                  <c:v>1.90348562498714</c:v>
                </c:pt>
                <c:pt idx="7">
                  <c:v>2.22073322915167</c:v>
                </c:pt>
                <c:pt idx="8">
                  <c:v>2.53798083331619</c:v>
                </c:pt>
                <c:pt idx="9">
                  <c:v>2.85522843748072</c:v>
                </c:pt>
                <c:pt idx="10">
                  <c:v>3.17247604164524</c:v>
                </c:pt>
                <c:pt idx="11">
                  <c:v>3.48972364580976</c:v>
                </c:pt>
                <c:pt idx="12">
                  <c:v>3.80697124997429</c:v>
                </c:pt>
                <c:pt idx="13">
                  <c:v>4.12421885413881</c:v>
                </c:pt>
                <c:pt idx="14">
                  <c:v>4.44146645830333</c:v>
                </c:pt>
                <c:pt idx="15">
                  <c:v>4.75871406246786</c:v>
                </c:pt>
                <c:pt idx="16">
                  <c:v>5.07596166663238</c:v>
                </c:pt>
                <c:pt idx="17">
                  <c:v>5.3932092707969</c:v>
                </c:pt>
                <c:pt idx="18">
                  <c:v>5.71045687496143</c:v>
                </c:pt>
                <c:pt idx="19">
                  <c:v>6.02770447912596</c:v>
                </c:pt>
                <c:pt idx="20">
                  <c:v>6.34495208329048</c:v>
                </c:pt>
                <c:pt idx="21">
                  <c:v>6.662199687455</c:v>
                </c:pt>
                <c:pt idx="22">
                  <c:v>6.97944729161952</c:v>
                </c:pt>
                <c:pt idx="23">
                  <c:v>7.29669489578405</c:v>
                </c:pt>
                <c:pt idx="24">
                  <c:v>7.61394249994857</c:v>
                </c:pt>
                <c:pt idx="25">
                  <c:v>7.93119010411309</c:v>
                </c:pt>
                <c:pt idx="26">
                  <c:v>8.24843770827762</c:v>
                </c:pt>
                <c:pt idx="27">
                  <c:v>8.56568531244214</c:v>
                </c:pt>
                <c:pt idx="28">
                  <c:v>8.88293291660667</c:v>
                </c:pt>
                <c:pt idx="29">
                  <c:v>9.20018052077119</c:v>
                </c:pt>
                <c:pt idx="30">
                  <c:v>9.51742812493571</c:v>
                </c:pt>
                <c:pt idx="31">
                  <c:v>9.83467572910024</c:v>
                </c:pt>
                <c:pt idx="32">
                  <c:v>10.1519233332648</c:v>
                </c:pt>
                <c:pt idx="33">
                  <c:v>10.4691709374293</c:v>
                </c:pt>
                <c:pt idx="34">
                  <c:v>10.7864185415938</c:v>
                </c:pt>
                <c:pt idx="35">
                  <c:v>11.1036661457583</c:v>
                </c:pt>
                <c:pt idx="36">
                  <c:v>11.4209137499229</c:v>
                </c:pt>
                <c:pt idx="37">
                  <c:v>11.7381613540874</c:v>
                </c:pt>
                <c:pt idx="38">
                  <c:v>12.0554089582519</c:v>
                </c:pt>
                <c:pt idx="39">
                  <c:v>12.3726565624164</c:v>
                </c:pt>
                <c:pt idx="40">
                  <c:v>12.689904166581</c:v>
                </c:pt>
                <c:pt idx="41">
                  <c:v>13.0071517707455</c:v>
                </c:pt>
                <c:pt idx="42">
                  <c:v>13.32439937491</c:v>
                </c:pt>
                <c:pt idx="43">
                  <c:v>13.6416469790745</c:v>
                </c:pt>
                <c:pt idx="44">
                  <c:v>13.958894583239</c:v>
                </c:pt>
                <c:pt idx="45">
                  <c:v>14.2761421874036</c:v>
                </c:pt>
                <c:pt idx="46">
                  <c:v>14.5933897915681</c:v>
                </c:pt>
                <c:pt idx="47">
                  <c:v>14.9106373957326</c:v>
                </c:pt>
                <c:pt idx="48">
                  <c:v>15.2278849998971</c:v>
                </c:pt>
                <c:pt idx="49">
                  <c:v>15.5451326040617</c:v>
                </c:pt>
                <c:pt idx="50">
                  <c:v>15.8623802082262</c:v>
                </c:pt>
                <c:pt idx="51">
                  <c:v>16.1796278123907</c:v>
                </c:pt>
                <c:pt idx="52">
                  <c:v>16.4968754165552</c:v>
                </c:pt>
                <c:pt idx="53">
                  <c:v>16.8141230207198</c:v>
                </c:pt>
                <c:pt idx="54">
                  <c:v>17.1313706248843</c:v>
                </c:pt>
                <c:pt idx="55">
                  <c:v>17.4486182290488</c:v>
                </c:pt>
                <c:pt idx="56">
                  <c:v>17.7658658332133</c:v>
                </c:pt>
                <c:pt idx="57">
                  <c:v>18.0831134373779</c:v>
                </c:pt>
                <c:pt idx="58">
                  <c:v>18.4003610415424</c:v>
                </c:pt>
                <c:pt idx="59">
                  <c:v>18.7176086457069</c:v>
                </c:pt>
                <c:pt idx="60">
                  <c:v>19.0348562498714</c:v>
                </c:pt>
                <c:pt idx="61">
                  <c:v>19.352103854036</c:v>
                </c:pt>
                <c:pt idx="62">
                  <c:v>19.6693514582005</c:v>
                </c:pt>
                <c:pt idx="63">
                  <c:v>19.986599062365</c:v>
                </c:pt>
                <c:pt idx="64">
                  <c:v>20.3038466665295</c:v>
                </c:pt>
                <c:pt idx="65">
                  <c:v>20.621094270694</c:v>
                </c:pt>
                <c:pt idx="66">
                  <c:v>20.9383418748586</c:v>
                </c:pt>
                <c:pt idx="67">
                  <c:v>21.2555894790231</c:v>
                </c:pt>
                <c:pt idx="68">
                  <c:v>21.5728370831876</c:v>
                </c:pt>
                <c:pt idx="69">
                  <c:v>21.8900846873521</c:v>
                </c:pt>
                <c:pt idx="70">
                  <c:v>22.2073322915167</c:v>
                </c:pt>
                <c:pt idx="71">
                  <c:v>22.5245798956812</c:v>
                </c:pt>
                <c:pt idx="72">
                  <c:v>22.8418274998457</c:v>
                </c:pt>
                <c:pt idx="73">
                  <c:v>23.1590751040102</c:v>
                </c:pt>
                <c:pt idx="74">
                  <c:v>23.4763227081748</c:v>
                </c:pt>
                <c:pt idx="75">
                  <c:v>23.7935703123393</c:v>
                </c:pt>
                <c:pt idx="76">
                  <c:v>24.1108179165038</c:v>
                </c:pt>
                <c:pt idx="77">
                  <c:v>24.4280655206683</c:v>
                </c:pt>
                <c:pt idx="78">
                  <c:v>24.7453131248329</c:v>
                </c:pt>
                <c:pt idx="79">
                  <c:v>25.0625607289974</c:v>
                </c:pt>
                <c:pt idx="80">
                  <c:v>25.3798083331619</c:v>
                </c:pt>
                <c:pt idx="81">
                  <c:v>25.6970559373264</c:v>
                </c:pt>
                <c:pt idx="82">
                  <c:v>26.014303541491</c:v>
                </c:pt>
                <c:pt idx="83">
                  <c:v>26.3315511456555</c:v>
                </c:pt>
                <c:pt idx="84">
                  <c:v>26.64879874982</c:v>
                </c:pt>
                <c:pt idx="85">
                  <c:v>26.9660463539845</c:v>
                </c:pt>
                <c:pt idx="86">
                  <c:v>27.283293958149</c:v>
                </c:pt>
                <c:pt idx="87">
                  <c:v>27.6005415623136</c:v>
                </c:pt>
                <c:pt idx="88">
                  <c:v>27.9177891664781</c:v>
                </c:pt>
                <c:pt idx="89">
                  <c:v>28.2350367706426</c:v>
                </c:pt>
                <c:pt idx="90">
                  <c:v>28.5522843748071</c:v>
                </c:pt>
                <c:pt idx="91">
                  <c:v>28.8695319789717</c:v>
                </c:pt>
                <c:pt idx="92">
                  <c:v>29.1867795831362</c:v>
                </c:pt>
                <c:pt idx="93">
                  <c:v>29.5040271873007</c:v>
                </c:pt>
                <c:pt idx="94">
                  <c:v>29.8212747914652</c:v>
                </c:pt>
                <c:pt idx="95">
                  <c:v>30.1385223956298</c:v>
                </c:pt>
                <c:pt idx="96">
                  <c:v>30.4557699997943</c:v>
                </c:pt>
                <c:pt idx="97">
                  <c:v>30.7730176039588</c:v>
                </c:pt>
                <c:pt idx="98">
                  <c:v>31.0902652081233</c:v>
                </c:pt>
                <c:pt idx="99">
                  <c:v>31.4075128122878</c:v>
                </c:pt>
              </c:numCache>
            </c:numRef>
          </c:xVal>
          <c:yVal>
            <c:numRef>
              <c:f>'Index finger results'!$I$3:$I$102</c:f>
              <c:numCache>
                <c:formatCode>General</c:formatCode>
                <c:ptCount val="100"/>
                <c:pt idx="0">
                  <c:v>0</c:v>
                </c:pt>
                <c:pt idx="1">
                  <c:v>1.21179658528428</c:v>
                </c:pt>
                <c:pt idx="2">
                  <c:v>2.42359317056855</c:v>
                </c:pt>
                <c:pt idx="3">
                  <c:v>3.63538975585283</c:v>
                </c:pt>
                <c:pt idx="4">
                  <c:v>4.8471863411371</c:v>
                </c:pt>
                <c:pt idx="5">
                  <c:v>6.05898292642138</c:v>
                </c:pt>
                <c:pt idx="6">
                  <c:v>7.27077951170566</c:v>
                </c:pt>
                <c:pt idx="7">
                  <c:v>8.48257609698996</c:v>
                </c:pt>
                <c:pt idx="8">
                  <c:v>9.69437268227424</c:v>
                </c:pt>
                <c:pt idx="9">
                  <c:v>10.9061692675585</c:v>
                </c:pt>
                <c:pt idx="10">
                  <c:v>12.1179658528428</c:v>
                </c:pt>
                <c:pt idx="11">
                  <c:v>13.3297624381271</c:v>
                </c:pt>
                <c:pt idx="12">
                  <c:v>14.5415590234113</c:v>
                </c:pt>
                <c:pt idx="13">
                  <c:v>15.7533556086956</c:v>
                </c:pt>
                <c:pt idx="14">
                  <c:v>16.9651521939799</c:v>
                </c:pt>
                <c:pt idx="15">
                  <c:v>18.1769487792642</c:v>
                </c:pt>
                <c:pt idx="16">
                  <c:v>19.3887453645484</c:v>
                </c:pt>
                <c:pt idx="17">
                  <c:v>20.6005419498327</c:v>
                </c:pt>
                <c:pt idx="18">
                  <c:v>21.812338535117</c:v>
                </c:pt>
                <c:pt idx="19">
                  <c:v>23.0241351204013</c:v>
                </c:pt>
                <c:pt idx="20">
                  <c:v>24.2359317056856</c:v>
                </c:pt>
                <c:pt idx="21">
                  <c:v>25.4477282909699</c:v>
                </c:pt>
                <c:pt idx="22">
                  <c:v>26.6595248762541</c:v>
                </c:pt>
                <c:pt idx="23">
                  <c:v>27.8713214615384</c:v>
                </c:pt>
                <c:pt idx="24">
                  <c:v>29.0831180468227</c:v>
                </c:pt>
                <c:pt idx="25">
                  <c:v>30.294914632107</c:v>
                </c:pt>
                <c:pt idx="26">
                  <c:v>31.5067112173912</c:v>
                </c:pt>
                <c:pt idx="27">
                  <c:v>32.7185078026755</c:v>
                </c:pt>
                <c:pt idx="28">
                  <c:v>33.9303043879598</c:v>
                </c:pt>
                <c:pt idx="29">
                  <c:v>35.1421009732441</c:v>
                </c:pt>
                <c:pt idx="30">
                  <c:v>36.3538975585283</c:v>
                </c:pt>
                <c:pt idx="31">
                  <c:v>37.5656941438126</c:v>
                </c:pt>
                <c:pt idx="32">
                  <c:v>38.7774907290969</c:v>
                </c:pt>
                <c:pt idx="33">
                  <c:v>39.9892873143812</c:v>
                </c:pt>
                <c:pt idx="34">
                  <c:v>41.2010838996655</c:v>
                </c:pt>
                <c:pt idx="35">
                  <c:v>42.4128804849497</c:v>
                </c:pt>
                <c:pt idx="36">
                  <c:v>43.624677070234</c:v>
                </c:pt>
                <c:pt idx="37">
                  <c:v>44.8364736555183</c:v>
                </c:pt>
                <c:pt idx="38">
                  <c:v>46.0482702408026</c:v>
                </c:pt>
                <c:pt idx="39">
                  <c:v>47.2600668260868</c:v>
                </c:pt>
                <c:pt idx="40">
                  <c:v>48.4718634113711</c:v>
                </c:pt>
                <c:pt idx="41">
                  <c:v>49.6836599966554</c:v>
                </c:pt>
                <c:pt idx="42">
                  <c:v>50.8954565819397</c:v>
                </c:pt>
                <c:pt idx="43">
                  <c:v>52.107253167224</c:v>
                </c:pt>
                <c:pt idx="44">
                  <c:v>53.3190497525082</c:v>
                </c:pt>
                <c:pt idx="45">
                  <c:v>54.5308463377925</c:v>
                </c:pt>
                <c:pt idx="46">
                  <c:v>55.7426429230768</c:v>
                </c:pt>
                <c:pt idx="47">
                  <c:v>56.9544395083611</c:v>
                </c:pt>
                <c:pt idx="48">
                  <c:v>58.1662360936454</c:v>
                </c:pt>
                <c:pt idx="49">
                  <c:v>59.3780326789296</c:v>
                </c:pt>
                <c:pt idx="50">
                  <c:v>60.5898292642139</c:v>
                </c:pt>
                <c:pt idx="51">
                  <c:v>61.8016258494982</c:v>
                </c:pt>
                <c:pt idx="52">
                  <c:v>63.0134224347825</c:v>
                </c:pt>
                <c:pt idx="53">
                  <c:v>64.2252190200668</c:v>
                </c:pt>
                <c:pt idx="54">
                  <c:v>65.437015605351</c:v>
                </c:pt>
                <c:pt idx="55">
                  <c:v>66.6488121906353</c:v>
                </c:pt>
                <c:pt idx="56">
                  <c:v>67.8606087759196</c:v>
                </c:pt>
                <c:pt idx="57">
                  <c:v>69.0724053612039</c:v>
                </c:pt>
                <c:pt idx="58">
                  <c:v>70.2842019464881</c:v>
                </c:pt>
                <c:pt idx="59">
                  <c:v>71.4959985317724</c:v>
                </c:pt>
                <c:pt idx="60">
                  <c:v>72.7077951170567</c:v>
                </c:pt>
                <c:pt idx="61">
                  <c:v>73.919591702341</c:v>
                </c:pt>
                <c:pt idx="62">
                  <c:v>75.1313882876252</c:v>
                </c:pt>
                <c:pt idx="63">
                  <c:v>76.3431848729095</c:v>
                </c:pt>
                <c:pt idx="64">
                  <c:v>77.5549814581938</c:v>
                </c:pt>
                <c:pt idx="65">
                  <c:v>78.7667780434781</c:v>
                </c:pt>
                <c:pt idx="66">
                  <c:v>79.9785746287624</c:v>
                </c:pt>
                <c:pt idx="67">
                  <c:v>81.1903712140466</c:v>
                </c:pt>
                <c:pt idx="68">
                  <c:v>82.4021677993309</c:v>
                </c:pt>
                <c:pt idx="69">
                  <c:v>83.6139643846152</c:v>
                </c:pt>
                <c:pt idx="70">
                  <c:v>84.8257609698995</c:v>
                </c:pt>
                <c:pt idx="71">
                  <c:v>86.0375575551838</c:v>
                </c:pt>
                <c:pt idx="72">
                  <c:v>87.249354140468</c:v>
                </c:pt>
                <c:pt idx="73">
                  <c:v>88.4611507257523</c:v>
                </c:pt>
                <c:pt idx="74">
                  <c:v>89.6729473110366</c:v>
                </c:pt>
                <c:pt idx="75">
                  <c:v>90.8847438963209</c:v>
                </c:pt>
                <c:pt idx="76">
                  <c:v>92.0965404816051</c:v>
                </c:pt>
                <c:pt idx="77">
                  <c:v>93.3083370668894</c:v>
                </c:pt>
                <c:pt idx="78">
                  <c:v>94.5201336521737</c:v>
                </c:pt>
                <c:pt idx="79">
                  <c:v>95.731930237458</c:v>
                </c:pt>
                <c:pt idx="80">
                  <c:v>96.9437268227423</c:v>
                </c:pt>
                <c:pt idx="81">
                  <c:v>98.1555234080265</c:v>
                </c:pt>
                <c:pt idx="82">
                  <c:v>99.3673199933108</c:v>
                </c:pt>
                <c:pt idx="83">
                  <c:v>100.579116578595</c:v>
                </c:pt>
                <c:pt idx="84">
                  <c:v>101.790913163879</c:v>
                </c:pt>
                <c:pt idx="85">
                  <c:v>103.002709749164</c:v>
                </c:pt>
                <c:pt idx="86">
                  <c:v>104.214506334448</c:v>
                </c:pt>
                <c:pt idx="87">
                  <c:v>105.426302919732</c:v>
                </c:pt>
                <c:pt idx="88">
                  <c:v>106.638099505016</c:v>
                </c:pt>
                <c:pt idx="89">
                  <c:v>107.849896090301</c:v>
                </c:pt>
                <c:pt idx="90">
                  <c:v>109.061692675585</c:v>
                </c:pt>
                <c:pt idx="91">
                  <c:v>110.273489260869</c:v>
                </c:pt>
                <c:pt idx="92">
                  <c:v>111.485285846154</c:v>
                </c:pt>
                <c:pt idx="93">
                  <c:v>112.697082431438</c:v>
                </c:pt>
                <c:pt idx="94">
                  <c:v>113.908879016722</c:v>
                </c:pt>
                <c:pt idx="95">
                  <c:v>115.120675602006</c:v>
                </c:pt>
                <c:pt idx="96">
                  <c:v>116.332472187291</c:v>
                </c:pt>
                <c:pt idx="97">
                  <c:v>117.544268772575</c:v>
                </c:pt>
                <c:pt idx="98">
                  <c:v>118.756065357859</c:v>
                </c:pt>
                <c:pt idx="99">
                  <c:v>119.967861943144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'Index finger results'!$J$2</c:f>
              <c:strCache>
                <c:ptCount val="1"/>
                <c:pt idx="0">
                  <c:v>Theta1</c:v>
                </c:pt>
              </c:strCache>
            </c:strRef>
          </c:tx>
          <c:spPr>
            <a:ln w="19080" cap="rnd" cmpd="sng" algn="ctr">
              <a:solidFill>
                <a:srgbClr val="ED7D31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xVal>
            <c:numRef>
              <c:f>'Index finger results'!$H$3:$H$102</c:f>
              <c:numCache>
                <c:formatCode>General</c:formatCode>
                <c:ptCount val="100"/>
                <c:pt idx="0">
                  <c:v>0</c:v>
                </c:pt>
                <c:pt idx="1">
                  <c:v>0.317247604164523</c:v>
                </c:pt>
                <c:pt idx="2">
                  <c:v>0.634495208329046</c:v>
                </c:pt>
                <c:pt idx="3">
                  <c:v>0.95174281249357</c:v>
                </c:pt>
                <c:pt idx="4">
                  <c:v>1.26899041665809</c:v>
                </c:pt>
                <c:pt idx="5">
                  <c:v>1.58623802082262</c:v>
                </c:pt>
                <c:pt idx="6">
                  <c:v>1.90348562498714</c:v>
                </c:pt>
                <c:pt idx="7">
                  <c:v>2.22073322915167</c:v>
                </c:pt>
                <c:pt idx="8">
                  <c:v>2.53798083331619</c:v>
                </c:pt>
                <c:pt idx="9">
                  <c:v>2.85522843748072</c:v>
                </c:pt>
                <c:pt idx="10">
                  <c:v>3.17247604164524</c:v>
                </c:pt>
                <c:pt idx="11">
                  <c:v>3.48972364580976</c:v>
                </c:pt>
                <c:pt idx="12">
                  <c:v>3.80697124997429</c:v>
                </c:pt>
                <c:pt idx="13">
                  <c:v>4.12421885413881</c:v>
                </c:pt>
                <c:pt idx="14">
                  <c:v>4.44146645830333</c:v>
                </c:pt>
                <c:pt idx="15">
                  <c:v>4.75871406246786</c:v>
                </c:pt>
                <c:pt idx="16">
                  <c:v>5.07596166663238</c:v>
                </c:pt>
                <c:pt idx="17">
                  <c:v>5.3932092707969</c:v>
                </c:pt>
                <c:pt idx="18">
                  <c:v>5.71045687496143</c:v>
                </c:pt>
                <c:pt idx="19">
                  <c:v>6.02770447912596</c:v>
                </c:pt>
                <c:pt idx="20">
                  <c:v>6.34495208329048</c:v>
                </c:pt>
                <c:pt idx="21">
                  <c:v>6.662199687455</c:v>
                </c:pt>
                <c:pt idx="22">
                  <c:v>6.97944729161952</c:v>
                </c:pt>
                <c:pt idx="23">
                  <c:v>7.29669489578405</c:v>
                </c:pt>
                <c:pt idx="24">
                  <c:v>7.61394249994857</c:v>
                </c:pt>
                <c:pt idx="25">
                  <c:v>7.93119010411309</c:v>
                </c:pt>
                <c:pt idx="26">
                  <c:v>8.24843770827762</c:v>
                </c:pt>
                <c:pt idx="27">
                  <c:v>8.56568531244214</c:v>
                </c:pt>
                <c:pt idx="28">
                  <c:v>8.88293291660667</c:v>
                </c:pt>
                <c:pt idx="29">
                  <c:v>9.20018052077119</c:v>
                </c:pt>
                <c:pt idx="30">
                  <c:v>9.51742812493571</c:v>
                </c:pt>
                <c:pt idx="31">
                  <c:v>9.83467572910024</c:v>
                </c:pt>
                <c:pt idx="32">
                  <c:v>10.1519233332648</c:v>
                </c:pt>
                <c:pt idx="33">
                  <c:v>10.4691709374293</c:v>
                </c:pt>
                <c:pt idx="34">
                  <c:v>10.7864185415938</c:v>
                </c:pt>
                <c:pt idx="35">
                  <c:v>11.1036661457583</c:v>
                </c:pt>
                <c:pt idx="36">
                  <c:v>11.4209137499229</c:v>
                </c:pt>
                <c:pt idx="37">
                  <c:v>11.7381613540874</c:v>
                </c:pt>
                <c:pt idx="38">
                  <c:v>12.0554089582519</c:v>
                </c:pt>
                <c:pt idx="39">
                  <c:v>12.3726565624164</c:v>
                </c:pt>
                <c:pt idx="40">
                  <c:v>12.689904166581</c:v>
                </c:pt>
                <c:pt idx="41">
                  <c:v>13.0071517707455</c:v>
                </c:pt>
                <c:pt idx="42">
                  <c:v>13.32439937491</c:v>
                </c:pt>
                <c:pt idx="43">
                  <c:v>13.6416469790745</c:v>
                </c:pt>
                <c:pt idx="44">
                  <c:v>13.958894583239</c:v>
                </c:pt>
                <c:pt idx="45">
                  <c:v>14.2761421874036</c:v>
                </c:pt>
                <c:pt idx="46">
                  <c:v>14.5933897915681</c:v>
                </c:pt>
                <c:pt idx="47">
                  <c:v>14.9106373957326</c:v>
                </c:pt>
                <c:pt idx="48">
                  <c:v>15.2278849998971</c:v>
                </c:pt>
                <c:pt idx="49">
                  <c:v>15.5451326040617</c:v>
                </c:pt>
                <c:pt idx="50">
                  <c:v>15.8623802082262</c:v>
                </c:pt>
                <c:pt idx="51">
                  <c:v>16.1796278123907</c:v>
                </c:pt>
                <c:pt idx="52">
                  <c:v>16.4968754165552</c:v>
                </c:pt>
                <c:pt idx="53">
                  <c:v>16.8141230207198</c:v>
                </c:pt>
                <c:pt idx="54">
                  <c:v>17.1313706248843</c:v>
                </c:pt>
                <c:pt idx="55">
                  <c:v>17.4486182290488</c:v>
                </c:pt>
                <c:pt idx="56">
                  <c:v>17.7658658332133</c:v>
                </c:pt>
                <c:pt idx="57">
                  <c:v>18.0831134373779</c:v>
                </c:pt>
                <c:pt idx="58">
                  <c:v>18.4003610415424</c:v>
                </c:pt>
                <c:pt idx="59">
                  <c:v>18.7176086457069</c:v>
                </c:pt>
                <c:pt idx="60">
                  <c:v>19.0348562498714</c:v>
                </c:pt>
                <c:pt idx="61">
                  <c:v>19.352103854036</c:v>
                </c:pt>
                <c:pt idx="62">
                  <c:v>19.6693514582005</c:v>
                </c:pt>
                <c:pt idx="63">
                  <c:v>19.986599062365</c:v>
                </c:pt>
                <c:pt idx="64">
                  <c:v>20.3038466665295</c:v>
                </c:pt>
                <c:pt idx="65">
                  <c:v>20.621094270694</c:v>
                </c:pt>
                <c:pt idx="66">
                  <c:v>20.9383418748586</c:v>
                </c:pt>
                <c:pt idx="67">
                  <c:v>21.2555894790231</c:v>
                </c:pt>
                <c:pt idx="68">
                  <c:v>21.5728370831876</c:v>
                </c:pt>
                <c:pt idx="69">
                  <c:v>21.8900846873521</c:v>
                </c:pt>
                <c:pt idx="70">
                  <c:v>22.2073322915167</c:v>
                </c:pt>
                <c:pt idx="71">
                  <c:v>22.5245798956812</c:v>
                </c:pt>
                <c:pt idx="72">
                  <c:v>22.8418274998457</c:v>
                </c:pt>
                <c:pt idx="73">
                  <c:v>23.1590751040102</c:v>
                </c:pt>
                <c:pt idx="74">
                  <c:v>23.4763227081748</c:v>
                </c:pt>
                <c:pt idx="75">
                  <c:v>23.7935703123393</c:v>
                </c:pt>
                <c:pt idx="76">
                  <c:v>24.1108179165038</c:v>
                </c:pt>
                <c:pt idx="77">
                  <c:v>24.4280655206683</c:v>
                </c:pt>
                <c:pt idx="78">
                  <c:v>24.7453131248329</c:v>
                </c:pt>
                <c:pt idx="79">
                  <c:v>25.0625607289974</c:v>
                </c:pt>
                <c:pt idx="80">
                  <c:v>25.3798083331619</c:v>
                </c:pt>
                <c:pt idx="81">
                  <c:v>25.6970559373264</c:v>
                </c:pt>
                <c:pt idx="82">
                  <c:v>26.014303541491</c:v>
                </c:pt>
                <c:pt idx="83">
                  <c:v>26.3315511456555</c:v>
                </c:pt>
                <c:pt idx="84">
                  <c:v>26.64879874982</c:v>
                </c:pt>
                <c:pt idx="85">
                  <c:v>26.9660463539845</c:v>
                </c:pt>
                <c:pt idx="86">
                  <c:v>27.283293958149</c:v>
                </c:pt>
                <c:pt idx="87">
                  <c:v>27.6005415623136</c:v>
                </c:pt>
                <c:pt idx="88">
                  <c:v>27.9177891664781</c:v>
                </c:pt>
                <c:pt idx="89">
                  <c:v>28.2350367706426</c:v>
                </c:pt>
                <c:pt idx="90">
                  <c:v>28.5522843748071</c:v>
                </c:pt>
                <c:pt idx="91">
                  <c:v>28.8695319789717</c:v>
                </c:pt>
                <c:pt idx="92">
                  <c:v>29.1867795831362</c:v>
                </c:pt>
                <c:pt idx="93">
                  <c:v>29.5040271873007</c:v>
                </c:pt>
                <c:pt idx="94">
                  <c:v>29.8212747914652</c:v>
                </c:pt>
                <c:pt idx="95">
                  <c:v>30.1385223956298</c:v>
                </c:pt>
                <c:pt idx="96">
                  <c:v>30.4557699997943</c:v>
                </c:pt>
                <c:pt idx="97">
                  <c:v>30.7730176039588</c:v>
                </c:pt>
                <c:pt idx="98">
                  <c:v>31.0902652081233</c:v>
                </c:pt>
                <c:pt idx="99">
                  <c:v>31.4075128122878</c:v>
                </c:pt>
              </c:numCache>
            </c:numRef>
          </c:xVal>
          <c:yVal>
            <c:numRef>
              <c:f>'Index finger results'!$J$3:$J$102</c:f>
              <c:numCache>
                <c:formatCode>General</c:formatCode>
                <c:ptCount val="100"/>
                <c:pt idx="0">
                  <c:v>0</c:v>
                </c:pt>
                <c:pt idx="1">
                  <c:v>0.443604050370685</c:v>
                </c:pt>
                <c:pt idx="2">
                  <c:v>0.88720810074137</c:v>
                </c:pt>
                <c:pt idx="3">
                  <c:v>1.3088199580173</c:v>
                </c:pt>
                <c:pt idx="4">
                  <c:v>1.70801900268876</c:v>
                </c:pt>
                <c:pt idx="5">
                  <c:v>2.10721804736022</c:v>
                </c:pt>
                <c:pt idx="6">
                  <c:v>2.48695700588343</c:v>
                </c:pt>
                <c:pt idx="7">
                  <c:v>2.85882111729303</c:v>
                </c:pt>
                <c:pt idx="8">
                  <c:v>3.23068522870263</c:v>
                </c:pt>
                <c:pt idx="9">
                  <c:v>3.59112059036398</c:v>
                </c:pt>
                <c:pt idx="10">
                  <c:v>3.94719833780323</c:v>
                </c:pt>
                <c:pt idx="11">
                  <c:v>4.30327608524248</c:v>
                </c:pt>
                <c:pt idx="12">
                  <c:v>4.65483434678283</c:v>
                </c:pt>
                <c:pt idx="13">
                  <c:v>5.00342387617975</c:v>
                </c:pt>
                <c:pt idx="14">
                  <c:v>5.35201340557668</c:v>
                </c:pt>
                <c:pt idx="15">
                  <c:v>5.70009110946359</c:v>
                </c:pt>
                <c:pt idx="16">
                  <c:v>6.04745057862513</c:v>
                </c:pt>
                <c:pt idx="17">
                  <c:v>6.39481004778667</c:v>
                </c:pt>
                <c:pt idx="18">
                  <c:v>6.74297011736948</c:v>
                </c:pt>
                <c:pt idx="19">
                  <c:v>7.09401284002814</c:v>
                </c:pt>
                <c:pt idx="20">
                  <c:v>7.44505556268679</c:v>
                </c:pt>
                <c:pt idx="21">
                  <c:v>7.79649880397325</c:v>
                </c:pt>
                <c:pt idx="22">
                  <c:v>8.15521594007583</c:v>
                </c:pt>
                <c:pt idx="23">
                  <c:v>8.5139330761784</c:v>
                </c:pt>
                <c:pt idx="24">
                  <c:v>8.87265021228098</c:v>
                </c:pt>
                <c:pt idx="25">
                  <c:v>9.24188097972485</c:v>
                </c:pt>
                <c:pt idx="26">
                  <c:v>9.61161025285453</c:v>
                </c:pt>
                <c:pt idx="27">
                  <c:v>9.98133952598421</c:v>
                </c:pt>
                <c:pt idx="28">
                  <c:v>10.3642420610885</c:v>
                </c:pt>
                <c:pt idx="29">
                  <c:v>10.7478447988693</c:v>
                </c:pt>
                <c:pt idx="30">
                  <c:v>11.1323158358033</c:v>
                </c:pt>
                <c:pt idx="31">
                  <c:v>11.5322971614423</c:v>
                </c:pt>
                <c:pt idx="32">
                  <c:v>11.9322784870812</c:v>
                </c:pt>
                <c:pt idx="33">
                  <c:v>12.3373799123136</c:v>
                </c:pt>
                <c:pt idx="34">
                  <c:v>12.7559725526269</c:v>
                </c:pt>
                <c:pt idx="35">
                  <c:v>13.1745651929402</c:v>
                </c:pt>
                <c:pt idx="36">
                  <c:v>13.6059640564617</c:v>
                </c:pt>
                <c:pt idx="37">
                  <c:v>14.0451882799659</c:v>
                </c:pt>
                <c:pt idx="38">
                  <c:v>14.4864584201589</c:v>
                </c:pt>
                <c:pt idx="39">
                  <c:v>14.948166001396</c:v>
                </c:pt>
                <c:pt idx="40">
                  <c:v>15.409873582633</c:v>
                </c:pt>
                <c:pt idx="41">
                  <c:v>15.8881451899389</c:v>
                </c:pt>
                <c:pt idx="42">
                  <c:v>16.3740525075599</c:v>
                </c:pt>
                <c:pt idx="43">
                  <c:v>16.8702255378251</c:v>
                </c:pt>
                <c:pt idx="44">
                  <c:v>17.3819391743701</c:v>
                </c:pt>
                <c:pt idx="45">
                  <c:v>17.8998400738149</c:v>
                </c:pt>
                <c:pt idx="46">
                  <c:v>18.438877170065</c:v>
                </c:pt>
                <c:pt idx="47">
                  <c:v>18.9826654481305</c:v>
                </c:pt>
                <c:pt idx="48">
                  <c:v>19.5504703331122</c:v>
                </c:pt>
                <c:pt idx="49">
                  <c:v>20.1245562159937</c:v>
                </c:pt>
                <c:pt idx="50">
                  <c:v>20.7225143431136</c:v>
                </c:pt>
                <c:pt idx="51">
                  <c:v>21.3314985885938</c:v>
                </c:pt>
                <c:pt idx="52">
                  <c:v>21.9609484728928</c:v>
                </c:pt>
                <c:pt idx="53">
                  <c:v>22.6095799796705</c:v>
                </c:pt>
                <c:pt idx="54">
                  <c:v>23.2718235974657</c:v>
                </c:pt>
                <c:pt idx="55">
                  <c:v>23.9649712494832</c:v>
                </c:pt>
                <c:pt idx="56">
                  <c:v>24.6722833421686</c:v>
                </c:pt>
                <c:pt idx="57">
                  <c:v>25.4039189247139</c:v>
                </c:pt>
                <c:pt idx="58">
                  <c:v>26.1645425593896</c:v>
                </c:pt>
                <c:pt idx="59">
                  <c:v>26.9458388614199</c:v>
                </c:pt>
                <c:pt idx="60">
                  <c:v>27.751845134554</c:v>
                </c:pt>
                <c:pt idx="61">
                  <c:v>28.5956355991265</c:v>
                </c:pt>
                <c:pt idx="62">
                  <c:v>29.4669840001215</c:v>
                </c:pt>
                <c:pt idx="63">
                  <c:v>30.3688358832958</c:v>
                </c:pt>
                <c:pt idx="64">
                  <c:v>31.3042087676944</c:v>
                </c:pt>
                <c:pt idx="65">
                  <c:v>32.2761884376822</c:v>
                </c:pt>
                <c:pt idx="66">
                  <c:v>33.2898693947907</c:v>
                </c:pt>
                <c:pt idx="67">
                  <c:v>34.3469272211881</c:v>
                </c:pt>
                <c:pt idx="68">
                  <c:v>35.4482386105591</c:v>
                </c:pt>
                <c:pt idx="69">
                  <c:v>36.5970810869963</c:v>
                </c:pt>
                <c:pt idx="70">
                  <c:v>37.7975783503048</c:v>
                </c:pt>
                <c:pt idx="71">
                  <c:v>39.0573845495444</c:v>
                </c:pt>
                <c:pt idx="72">
                  <c:v>40.376954387319</c:v>
                </c:pt>
                <c:pt idx="73">
                  <c:v>41.7597100052381</c:v>
                </c:pt>
                <c:pt idx="74">
                  <c:v>43.20905374462</c:v>
                </c:pt>
                <c:pt idx="75">
                  <c:v>44.739092647529</c:v>
                </c:pt>
                <c:pt idx="76">
                  <c:v>46.3493011206033</c:v>
                </c:pt>
                <c:pt idx="77">
                  <c:v>48.0473081918686</c:v>
                </c:pt>
                <c:pt idx="78">
                  <c:v>49.8403577207626</c:v>
                </c:pt>
                <c:pt idx="79">
                  <c:v>51.739897690327</c:v>
                </c:pt>
                <c:pt idx="80">
                  <c:v>53.7479678225846</c:v>
                </c:pt>
                <c:pt idx="81">
                  <c:v>55.8747808727225</c:v>
                </c:pt>
                <c:pt idx="82">
                  <c:v>58.1289260711085</c:v>
                </c:pt>
                <c:pt idx="83">
                  <c:v>60.516683984691</c:v>
                </c:pt>
                <c:pt idx="84">
                  <c:v>63.0410970431734</c:v>
                </c:pt>
                <c:pt idx="85">
                  <c:v>65.7038291781518</c:v>
                </c:pt>
                <c:pt idx="86">
                  <c:v>68.5020605361547</c:v>
                </c:pt>
                <c:pt idx="87">
                  <c:v>71.4202371338507</c:v>
                </c:pt>
                <c:pt idx="88">
                  <c:v>74.4415859805343</c:v>
                </c:pt>
                <c:pt idx="89">
                  <c:v>77.5488157467048</c:v>
                </c:pt>
                <c:pt idx="90">
                  <c:v>80.719687631571</c:v>
                </c:pt>
                <c:pt idx="91">
                  <c:v>83.9376980376159</c:v>
                </c:pt>
                <c:pt idx="92">
                  <c:v>87.1888000281719</c:v>
                </c:pt>
                <c:pt idx="93">
                  <c:v>90.4611375583315</c:v>
                </c:pt>
                <c:pt idx="94">
                  <c:v>93.7443837498452</c:v>
                </c:pt>
                <c:pt idx="95">
                  <c:v>97.0290818291208</c:v>
                </c:pt>
                <c:pt idx="96">
                  <c:v>100.306133734581</c:v>
                </c:pt>
                <c:pt idx="97">
                  <c:v>103.566468171515</c:v>
                </c:pt>
                <c:pt idx="98">
                  <c:v>106.800879872528</c:v>
                </c:pt>
                <c:pt idx="99">
                  <c:v>110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'Index finger results'!$K$2</c:f>
              <c:strCache>
                <c:ptCount val="1"/>
                <c:pt idx="0">
                  <c:v>Theta2</c:v>
                </c:pt>
              </c:strCache>
            </c:strRef>
          </c:tx>
          <c:spPr>
            <a:ln w="19080" cap="rnd" cmpd="sng" algn="ctr">
              <a:solidFill>
                <a:srgbClr val="A5A5A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xVal>
            <c:numRef>
              <c:f>'Index finger results'!$H$3:$H$102</c:f>
              <c:numCache>
                <c:formatCode>General</c:formatCode>
                <c:ptCount val="100"/>
                <c:pt idx="0">
                  <c:v>0</c:v>
                </c:pt>
                <c:pt idx="1">
                  <c:v>0.317247604164523</c:v>
                </c:pt>
                <c:pt idx="2">
                  <c:v>0.634495208329046</c:v>
                </c:pt>
                <c:pt idx="3">
                  <c:v>0.95174281249357</c:v>
                </c:pt>
                <c:pt idx="4">
                  <c:v>1.26899041665809</c:v>
                </c:pt>
                <c:pt idx="5">
                  <c:v>1.58623802082262</c:v>
                </c:pt>
                <c:pt idx="6">
                  <c:v>1.90348562498714</c:v>
                </c:pt>
                <c:pt idx="7">
                  <c:v>2.22073322915167</c:v>
                </c:pt>
                <c:pt idx="8">
                  <c:v>2.53798083331619</c:v>
                </c:pt>
                <c:pt idx="9">
                  <c:v>2.85522843748072</c:v>
                </c:pt>
                <c:pt idx="10">
                  <c:v>3.17247604164524</c:v>
                </c:pt>
                <c:pt idx="11">
                  <c:v>3.48972364580976</c:v>
                </c:pt>
                <c:pt idx="12">
                  <c:v>3.80697124997429</c:v>
                </c:pt>
                <c:pt idx="13">
                  <c:v>4.12421885413881</c:v>
                </c:pt>
                <c:pt idx="14">
                  <c:v>4.44146645830333</c:v>
                </c:pt>
                <c:pt idx="15">
                  <c:v>4.75871406246786</c:v>
                </c:pt>
                <c:pt idx="16">
                  <c:v>5.07596166663238</c:v>
                </c:pt>
                <c:pt idx="17">
                  <c:v>5.3932092707969</c:v>
                </c:pt>
                <c:pt idx="18">
                  <c:v>5.71045687496143</c:v>
                </c:pt>
                <c:pt idx="19">
                  <c:v>6.02770447912596</c:v>
                </c:pt>
                <c:pt idx="20">
                  <c:v>6.34495208329048</c:v>
                </c:pt>
                <c:pt idx="21">
                  <c:v>6.662199687455</c:v>
                </c:pt>
                <c:pt idx="22">
                  <c:v>6.97944729161952</c:v>
                </c:pt>
                <c:pt idx="23">
                  <c:v>7.29669489578405</c:v>
                </c:pt>
                <c:pt idx="24">
                  <c:v>7.61394249994857</c:v>
                </c:pt>
                <c:pt idx="25">
                  <c:v>7.93119010411309</c:v>
                </c:pt>
                <c:pt idx="26">
                  <c:v>8.24843770827762</c:v>
                </c:pt>
                <c:pt idx="27">
                  <c:v>8.56568531244214</c:v>
                </c:pt>
                <c:pt idx="28">
                  <c:v>8.88293291660667</c:v>
                </c:pt>
                <c:pt idx="29">
                  <c:v>9.20018052077119</c:v>
                </c:pt>
                <c:pt idx="30">
                  <c:v>9.51742812493571</c:v>
                </c:pt>
                <c:pt idx="31">
                  <c:v>9.83467572910024</c:v>
                </c:pt>
                <c:pt idx="32">
                  <c:v>10.1519233332648</c:v>
                </c:pt>
                <c:pt idx="33">
                  <c:v>10.4691709374293</c:v>
                </c:pt>
                <c:pt idx="34">
                  <c:v>10.7864185415938</c:v>
                </c:pt>
                <c:pt idx="35">
                  <c:v>11.1036661457583</c:v>
                </c:pt>
                <c:pt idx="36">
                  <c:v>11.4209137499229</c:v>
                </c:pt>
                <c:pt idx="37">
                  <c:v>11.7381613540874</c:v>
                </c:pt>
                <c:pt idx="38">
                  <c:v>12.0554089582519</c:v>
                </c:pt>
                <c:pt idx="39">
                  <c:v>12.3726565624164</c:v>
                </c:pt>
                <c:pt idx="40">
                  <c:v>12.689904166581</c:v>
                </c:pt>
                <c:pt idx="41">
                  <c:v>13.0071517707455</c:v>
                </c:pt>
                <c:pt idx="42">
                  <c:v>13.32439937491</c:v>
                </c:pt>
                <c:pt idx="43">
                  <c:v>13.6416469790745</c:v>
                </c:pt>
                <c:pt idx="44">
                  <c:v>13.958894583239</c:v>
                </c:pt>
                <c:pt idx="45">
                  <c:v>14.2761421874036</c:v>
                </c:pt>
                <c:pt idx="46">
                  <c:v>14.5933897915681</c:v>
                </c:pt>
                <c:pt idx="47">
                  <c:v>14.9106373957326</c:v>
                </c:pt>
                <c:pt idx="48">
                  <c:v>15.2278849998971</c:v>
                </c:pt>
                <c:pt idx="49">
                  <c:v>15.5451326040617</c:v>
                </c:pt>
                <c:pt idx="50">
                  <c:v>15.8623802082262</c:v>
                </c:pt>
                <c:pt idx="51">
                  <c:v>16.1796278123907</c:v>
                </c:pt>
                <c:pt idx="52">
                  <c:v>16.4968754165552</c:v>
                </c:pt>
                <c:pt idx="53">
                  <c:v>16.8141230207198</c:v>
                </c:pt>
                <c:pt idx="54">
                  <c:v>17.1313706248843</c:v>
                </c:pt>
                <c:pt idx="55">
                  <c:v>17.4486182290488</c:v>
                </c:pt>
                <c:pt idx="56">
                  <c:v>17.7658658332133</c:v>
                </c:pt>
                <c:pt idx="57">
                  <c:v>18.0831134373779</c:v>
                </c:pt>
                <c:pt idx="58">
                  <c:v>18.4003610415424</c:v>
                </c:pt>
                <c:pt idx="59">
                  <c:v>18.7176086457069</c:v>
                </c:pt>
                <c:pt idx="60">
                  <c:v>19.0348562498714</c:v>
                </c:pt>
                <c:pt idx="61">
                  <c:v>19.352103854036</c:v>
                </c:pt>
                <c:pt idx="62">
                  <c:v>19.6693514582005</c:v>
                </c:pt>
                <c:pt idx="63">
                  <c:v>19.986599062365</c:v>
                </c:pt>
                <c:pt idx="64">
                  <c:v>20.3038466665295</c:v>
                </c:pt>
                <c:pt idx="65">
                  <c:v>20.621094270694</c:v>
                </c:pt>
                <c:pt idx="66">
                  <c:v>20.9383418748586</c:v>
                </c:pt>
                <c:pt idx="67">
                  <c:v>21.2555894790231</c:v>
                </c:pt>
                <c:pt idx="68">
                  <c:v>21.5728370831876</c:v>
                </c:pt>
                <c:pt idx="69">
                  <c:v>21.8900846873521</c:v>
                </c:pt>
                <c:pt idx="70">
                  <c:v>22.2073322915167</c:v>
                </c:pt>
                <c:pt idx="71">
                  <c:v>22.5245798956812</c:v>
                </c:pt>
                <c:pt idx="72">
                  <c:v>22.8418274998457</c:v>
                </c:pt>
                <c:pt idx="73">
                  <c:v>23.1590751040102</c:v>
                </c:pt>
                <c:pt idx="74">
                  <c:v>23.4763227081748</c:v>
                </c:pt>
                <c:pt idx="75">
                  <c:v>23.7935703123393</c:v>
                </c:pt>
                <c:pt idx="76">
                  <c:v>24.1108179165038</c:v>
                </c:pt>
                <c:pt idx="77">
                  <c:v>24.4280655206683</c:v>
                </c:pt>
                <c:pt idx="78">
                  <c:v>24.7453131248329</c:v>
                </c:pt>
                <c:pt idx="79">
                  <c:v>25.0625607289974</c:v>
                </c:pt>
                <c:pt idx="80">
                  <c:v>25.3798083331619</c:v>
                </c:pt>
                <c:pt idx="81">
                  <c:v>25.6970559373264</c:v>
                </c:pt>
                <c:pt idx="82">
                  <c:v>26.014303541491</c:v>
                </c:pt>
                <c:pt idx="83">
                  <c:v>26.3315511456555</c:v>
                </c:pt>
                <c:pt idx="84">
                  <c:v>26.64879874982</c:v>
                </c:pt>
                <c:pt idx="85">
                  <c:v>26.9660463539845</c:v>
                </c:pt>
                <c:pt idx="86">
                  <c:v>27.283293958149</c:v>
                </c:pt>
                <c:pt idx="87">
                  <c:v>27.6005415623136</c:v>
                </c:pt>
                <c:pt idx="88">
                  <c:v>27.9177891664781</c:v>
                </c:pt>
                <c:pt idx="89">
                  <c:v>28.2350367706426</c:v>
                </c:pt>
                <c:pt idx="90">
                  <c:v>28.5522843748071</c:v>
                </c:pt>
                <c:pt idx="91">
                  <c:v>28.8695319789717</c:v>
                </c:pt>
                <c:pt idx="92">
                  <c:v>29.1867795831362</c:v>
                </c:pt>
                <c:pt idx="93">
                  <c:v>29.5040271873007</c:v>
                </c:pt>
                <c:pt idx="94">
                  <c:v>29.8212747914652</c:v>
                </c:pt>
                <c:pt idx="95">
                  <c:v>30.1385223956298</c:v>
                </c:pt>
                <c:pt idx="96">
                  <c:v>30.4557699997943</c:v>
                </c:pt>
                <c:pt idx="97">
                  <c:v>30.7730176039588</c:v>
                </c:pt>
                <c:pt idx="98">
                  <c:v>31.0902652081233</c:v>
                </c:pt>
                <c:pt idx="99">
                  <c:v>31.4075128122878</c:v>
                </c:pt>
              </c:numCache>
            </c:numRef>
          </c:xVal>
          <c:yVal>
            <c:numRef>
              <c:f>'Index finger results'!$K$3:$K$102</c:f>
              <c:numCache>
                <c:formatCode>General</c:formatCode>
                <c:ptCount val="100"/>
                <c:pt idx="0">
                  <c:v>0</c:v>
                </c:pt>
                <c:pt idx="1">
                  <c:v>0.332703037778014</c:v>
                </c:pt>
                <c:pt idx="2">
                  <c:v>0.665406075556027</c:v>
                </c:pt>
                <c:pt idx="3">
                  <c:v>0.981614968512974</c:v>
                </c:pt>
                <c:pt idx="4">
                  <c:v>1.28101425201657</c:v>
                </c:pt>
                <c:pt idx="5">
                  <c:v>1.58041353552016</c:v>
                </c:pt>
                <c:pt idx="6">
                  <c:v>1.86521775441257</c:v>
                </c:pt>
                <c:pt idx="7">
                  <c:v>2.14411583796977</c:v>
                </c:pt>
                <c:pt idx="8">
                  <c:v>2.42301392152697</c:v>
                </c:pt>
                <c:pt idx="9">
                  <c:v>2.69334044277299</c:v>
                </c:pt>
                <c:pt idx="10">
                  <c:v>2.96039875335242</c:v>
                </c:pt>
                <c:pt idx="11">
                  <c:v>3.22745706393186</c:v>
                </c:pt>
                <c:pt idx="12">
                  <c:v>3.49112576008712</c:v>
                </c:pt>
                <c:pt idx="13">
                  <c:v>3.75256790713481</c:v>
                </c:pt>
                <c:pt idx="14">
                  <c:v>4.01401005418251</c:v>
                </c:pt>
                <c:pt idx="15">
                  <c:v>4.27506833209769</c:v>
                </c:pt>
                <c:pt idx="16">
                  <c:v>4.53558793396885</c:v>
                </c:pt>
                <c:pt idx="17">
                  <c:v>4.79610753584</c:v>
                </c:pt>
                <c:pt idx="18">
                  <c:v>5.05722758802711</c:v>
                </c:pt>
                <c:pt idx="19">
                  <c:v>5.3205096300211</c:v>
                </c:pt>
                <c:pt idx="20">
                  <c:v>5.5837916720151</c:v>
                </c:pt>
                <c:pt idx="21">
                  <c:v>5.84737410297993</c:v>
                </c:pt>
                <c:pt idx="22">
                  <c:v>6.11641195505687</c:v>
                </c:pt>
                <c:pt idx="23">
                  <c:v>6.3854498071338</c:v>
                </c:pt>
                <c:pt idx="24">
                  <c:v>6.65448765921074</c:v>
                </c:pt>
                <c:pt idx="25">
                  <c:v>6.93141073479364</c:v>
                </c:pt>
                <c:pt idx="26">
                  <c:v>7.2087076896409</c:v>
                </c:pt>
                <c:pt idx="27">
                  <c:v>7.48600464448816</c:v>
                </c:pt>
                <c:pt idx="28">
                  <c:v>7.77318154581636</c:v>
                </c:pt>
                <c:pt idx="29">
                  <c:v>8.06088359915195</c:v>
                </c:pt>
                <c:pt idx="30">
                  <c:v>8.3492368768525</c:v>
                </c:pt>
                <c:pt idx="31">
                  <c:v>8.64922287108171</c:v>
                </c:pt>
                <c:pt idx="32">
                  <c:v>8.94920886531091</c:v>
                </c:pt>
                <c:pt idx="33">
                  <c:v>9.25303493423516</c:v>
                </c:pt>
                <c:pt idx="34">
                  <c:v>9.56697941447016</c:v>
                </c:pt>
                <c:pt idx="35">
                  <c:v>9.88092389470515</c:v>
                </c:pt>
                <c:pt idx="36">
                  <c:v>10.2044730423463</c:v>
                </c:pt>
                <c:pt idx="37">
                  <c:v>10.5338912099744</c:v>
                </c:pt>
                <c:pt idx="38">
                  <c:v>10.8648438151192</c:v>
                </c:pt>
                <c:pt idx="39">
                  <c:v>11.211124501047</c:v>
                </c:pt>
                <c:pt idx="40">
                  <c:v>11.5574051869748</c:v>
                </c:pt>
                <c:pt idx="41">
                  <c:v>11.9161088924542</c:v>
                </c:pt>
                <c:pt idx="42">
                  <c:v>12.2805393806699</c:v>
                </c:pt>
                <c:pt idx="43">
                  <c:v>12.6526691533688</c:v>
                </c:pt>
                <c:pt idx="44">
                  <c:v>13.0364543807776</c:v>
                </c:pt>
                <c:pt idx="45">
                  <c:v>13.4248800553612</c:v>
                </c:pt>
                <c:pt idx="46">
                  <c:v>13.8291578775488</c:v>
                </c:pt>
                <c:pt idx="47">
                  <c:v>14.2369990860979</c:v>
                </c:pt>
                <c:pt idx="48">
                  <c:v>14.6628527498341</c:v>
                </c:pt>
                <c:pt idx="49">
                  <c:v>15.0934171619953</c:v>
                </c:pt>
                <c:pt idx="50">
                  <c:v>15.5418857573352</c:v>
                </c:pt>
                <c:pt idx="51">
                  <c:v>15.9986239414453</c:v>
                </c:pt>
                <c:pt idx="52">
                  <c:v>16.4707113546696</c:v>
                </c:pt>
                <c:pt idx="53">
                  <c:v>16.9571849847529</c:v>
                </c:pt>
                <c:pt idx="54">
                  <c:v>17.4538676980993</c:v>
                </c:pt>
                <c:pt idx="55">
                  <c:v>17.9737284371124</c:v>
                </c:pt>
                <c:pt idx="56">
                  <c:v>18.5042125066264</c:v>
                </c:pt>
                <c:pt idx="57">
                  <c:v>19.0529391935354</c:v>
                </c:pt>
                <c:pt idx="58">
                  <c:v>19.6234069195422</c:v>
                </c:pt>
                <c:pt idx="59">
                  <c:v>20.2093791460649</c:v>
                </c:pt>
                <c:pt idx="60">
                  <c:v>20.8138838509155</c:v>
                </c:pt>
                <c:pt idx="61">
                  <c:v>21.4467266993449</c:v>
                </c:pt>
                <c:pt idx="62">
                  <c:v>22.1002380000911</c:v>
                </c:pt>
                <c:pt idx="63">
                  <c:v>22.7766269124719</c:v>
                </c:pt>
                <c:pt idx="64">
                  <c:v>23.4781565757708</c:v>
                </c:pt>
                <c:pt idx="65">
                  <c:v>24.2071413282617</c:v>
                </c:pt>
                <c:pt idx="66">
                  <c:v>24.967402046093</c:v>
                </c:pt>
                <c:pt idx="67">
                  <c:v>25.7601954158911</c:v>
                </c:pt>
                <c:pt idx="68">
                  <c:v>26.5861789579193</c:v>
                </c:pt>
                <c:pt idx="69">
                  <c:v>27.4478108152472</c:v>
                </c:pt>
                <c:pt idx="70">
                  <c:v>28.3481837627286</c:v>
                </c:pt>
                <c:pt idx="71">
                  <c:v>29.2930384121583</c:v>
                </c:pt>
                <c:pt idx="72">
                  <c:v>30.2827157904893</c:v>
                </c:pt>
                <c:pt idx="73">
                  <c:v>31.3197825039286</c:v>
                </c:pt>
                <c:pt idx="74">
                  <c:v>32.406790308465</c:v>
                </c:pt>
                <c:pt idx="75">
                  <c:v>33.5543194856468</c:v>
                </c:pt>
                <c:pt idx="76">
                  <c:v>34.7619758404525</c:v>
                </c:pt>
                <c:pt idx="77">
                  <c:v>36.0354811439015</c:v>
                </c:pt>
                <c:pt idx="78">
                  <c:v>37.380268290572</c:v>
                </c:pt>
                <c:pt idx="79">
                  <c:v>38.8049232677452</c:v>
                </c:pt>
                <c:pt idx="80">
                  <c:v>40.3109758669384</c:v>
                </c:pt>
                <c:pt idx="81">
                  <c:v>41.9060856545419</c:v>
                </c:pt>
                <c:pt idx="82">
                  <c:v>43.5966945533314</c:v>
                </c:pt>
                <c:pt idx="83">
                  <c:v>45.3875129885182</c:v>
                </c:pt>
                <c:pt idx="84">
                  <c:v>47.28082278238</c:v>
                </c:pt>
                <c:pt idx="85">
                  <c:v>49.2778718836138</c:v>
                </c:pt>
                <c:pt idx="86">
                  <c:v>51.376545402116</c:v>
                </c:pt>
                <c:pt idx="87">
                  <c:v>53.565177850388</c:v>
                </c:pt>
                <c:pt idx="88">
                  <c:v>55.8311894854007</c:v>
                </c:pt>
                <c:pt idx="89">
                  <c:v>58.1616118100286</c:v>
                </c:pt>
                <c:pt idx="90">
                  <c:v>60.5397657236783</c:v>
                </c:pt>
                <c:pt idx="91">
                  <c:v>62.9532735282119</c:v>
                </c:pt>
                <c:pt idx="92">
                  <c:v>65.3916000211289</c:v>
                </c:pt>
                <c:pt idx="93">
                  <c:v>67.8458531687486</c:v>
                </c:pt>
                <c:pt idx="94">
                  <c:v>70.3082878123839</c:v>
                </c:pt>
                <c:pt idx="95">
                  <c:v>72.7718113718406</c:v>
                </c:pt>
                <c:pt idx="96">
                  <c:v>75.2296003009357</c:v>
                </c:pt>
                <c:pt idx="97">
                  <c:v>77.6748511286362</c:v>
                </c:pt>
                <c:pt idx="98">
                  <c:v>80.100659904396</c:v>
                </c:pt>
                <c:pt idx="99">
                  <c:v>82.5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'Index finger results'!$L$2</c:f>
              <c:strCache>
                <c:ptCount val="1"/>
                <c:pt idx="0">
                  <c:v>Theta3</c:v>
                </c:pt>
              </c:strCache>
            </c:strRef>
          </c:tx>
          <c:spPr>
            <a:ln w="19080" cap="rnd" cmpd="sng" algn="ctr">
              <a:solidFill>
                <a:srgbClr val="FFC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xVal>
            <c:numRef>
              <c:f>'Index finger results'!$H$3:$H$102</c:f>
              <c:numCache>
                <c:formatCode>General</c:formatCode>
                <c:ptCount val="100"/>
                <c:pt idx="0">
                  <c:v>0</c:v>
                </c:pt>
                <c:pt idx="1">
                  <c:v>0.317247604164523</c:v>
                </c:pt>
                <c:pt idx="2">
                  <c:v>0.634495208329046</c:v>
                </c:pt>
                <c:pt idx="3">
                  <c:v>0.95174281249357</c:v>
                </c:pt>
                <c:pt idx="4">
                  <c:v>1.26899041665809</c:v>
                </c:pt>
                <c:pt idx="5">
                  <c:v>1.58623802082262</c:v>
                </c:pt>
                <c:pt idx="6">
                  <c:v>1.90348562498714</c:v>
                </c:pt>
                <c:pt idx="7">
                  <c:v>2.22073322915167</c:v>
                </c:pt>
                <c:pt idx="8">
                  <c:v>2.53798083331619</c:v>
                </c:pt>
                <c:pt idx="9">
                  <c:v>2.85522843748072</c:v>
                </c:pt>
                <c:pt idx="10">
                  <c:v>3.17247604164524</c:v>
                </c:pt>
                <c:pt idx="11">
                  <c:v>3.48972364580976</c:v>
                </c:pt>
                <c:pt idx="12">
                  <c:v>3.80697124997429</c:v>
                </c:pt>
                <c:pt idx="13">
                  <c:v>4.12421885413881</c:v>
                </c:pt>
                <c:pt idx="14">
                  <c:v>4.44146645830333</c:v>
                </c:pt>
                <c:pt idx="15">
                  <c:v>4.75871406246786</c:v>
                </c:pt>
                <c:pt idx="16">
                  <c:v>5.07596166663238</c:v>
                </c:pt>
                <c:pt idx="17">
                  <c:v>5.3932092707969</c:v>
                </c:pt>
                <c:pt idx="18">
                  <c:v>5.71045687496143</c:v>
                </c:pt>
                <c:pt idx="19">
                  <c:v>6.02770447912596</c:v>
                </c:pt>
                <c:pt idx="20">
                  <c:v>6.34495208329048</c:v>
                </c:pt>
                <c:pt idx="21">
                  <c:v>6.662199687455</c:v>
                </c:pt>
                <c:pt idx="22">
                  <c:v>6.97944729161952</c:v>
                </c:pt>
                <c:pt idx="23">
                  <c:v>7.29669489578405</c:v>
                </c:pt>
                <c:pt idx="24">
                  <c:v>7.61394249994857</c:v>
                </c:pt>
                <c:pt idx="25">
                  <c:v>7.93119010411309</c:v>
                </c:pt>
                <c:pt idx="26">
                  <c:v>8.24843770827762</c:v>
                </c:pt>
                <c:pt idx="27">
                  <c:v>8.56568531244214</c:v>
                </c:pt>
                <c:pt idx="28">
                  <c:v>8.88293291660667</c:v>
                </c:pt>
                <c:pt idx="29">
                  <c:v>9.20018052077119</c:v>
                </c:pt>
                <c:pt idx="30">
                  <c:v>9.51742812493571</c:v>
                </c:pt>
                <c:pt idx="31">
                  <c:v>9.83467572910024</c:v>
                </c:pt>
                <c:pt idx="32">
                  <c:v>10.1519233332648</c:v>
                </c:pt>
                <c:pt idx="33">
                  <c:v>10.4691709374293</c:v>
                </c:pt>
                <c:pt idx="34">
                  <c:v>10.7864185415938</c:v>
                </c:pt>
                <c:pt idx="35">
                  <c:v>11.1036661457583</c:v>
                </c:pt>
                <c:pt idx="36">
                  <c:v>11.4209137499229</c:v>
                </c:pt>
                <c:pt idx="37">
                  <c:v>11.7381613540874</c:v>
                </c:pt>
                <c:pt idx="38">
                  <c:v>12.0554089582519</c:v>
                </c:pt>
                <c:pt idx="39">
                  <c:v>12.3726565624164</c:v>
                </c:pt>
                <c:pt idx="40">
                  <c:v>12.689904166581</c:v>
                </c:pt>
                <c:pt idx="41">
                  <c:v>13.0071517707455</c:v>
                </c:pt>
                <c:pt idx="42">
                  <c:v>13.32439937491</c:v>
                </c:pt>
                <c:pt idx="43">
                  <c:v>13.6416469790745</c:v>
                </c:pt>
                <c:pt idx="44">
                  <c:v>13.958894583239</c:v>
                </c:pt>
                <c:pt idx="45">
                  <c:v>14.2761421874036</c:v>
                </c:pt>
                <c:pt idx="46">
                  <c:v>14.5933897915681</c:v>
                </c:pt>
                <c:pt idx="47">
                  <c:v>14.9106373957326</c:v>
                </c:pt>
                <c:pt idx="48">
                  <c:v>15.2278849998971</c:v>
                </c:pt>
                <c:pt idx="49">
                  <c:v>15.5451326040617</c:v>
                </c:pt>
                <c:pt idx="50">
                  <c:v>15.8623802082262</c:v>
                </c:pt>
                <c:pt idx="51">
                  <c:v>16.1796278123907</c:v>
                </c:pt>
                <c:pt idx="52">
                  <c:v>16.4968754165552</c:v>
                </c:pt>
                <c:pt idx="53">
                  <c:v>16.8141230207198</c:v>
                </c:pt>
                <c:pt idx="54">
                  <c:v>17.1313706248843</c:v>
                </c:pt>
                <c:pt idx="55">
                  <c:v>17.4486182290488</c:v>
                </c:pt>
                <c:pt idx="56">
                  <c:v>17.7658658332133</c:v>
                </c:pt>
                <c:pt idx="57">
                  <c:v>18.0831134373779</c:v>
                </c:pt>
                <c:pt idx="58">
                  <c:v>18.4003610415424</c:v>
                </c:pt>
                <c:pt idx="59">
                  <c:v>18.7176086457069</c:v>
                </c:pt>
                <c:pt idx="60">
                  <c:v>19.0348562498714</c:v>
                </c:pt>
                <c:pt idx="61">
                  <c:v>19.352103854036</c:v>
                </c:pt>
                <c:pt idx="62">
                  <c:v>19.6693514582005</c:v>
                </c:pt>
                <c:pt idx="63">
                  <c:v>19.986599062365</c:v>
                </c:pt>
                <c:pt idx="64">
                  <c:v>20.3038466665295</c:v>
                </c:pt>
                <c:pt idx="65">
                  <c:v>20.621094270694</c:v>
                </c:pt>
                <c:pt idx="66">
                  <c:v>20.9383418748586</c:v>
                </c:pt>
                <c:pt idx="67">
                  <c:v>21.2555894790231</c:v>
                </c:pt>
                <c:pt idx="68">
                  <c:v>21.5728370831876</c:v>
                </c:pt>
                <c:pt idx="69">
                  <c:v>21.8900846873521</c:v>
                </c:pt>
                <c:pt idx="70">
                  <c:v>22.2073322915167</c:v>
                </c:pt>
                <c:pt idx="71">
                  <c:v>22.5245798956812</c:v>
                </c:pt>
                <c:pt idx="72">
                  <c:v>22.8418274998457</c:v>
                </c:pt>
                <c:pt idx="73">
                  <c:v>23.1590751040102</c:v>
                </c:pt>
                <c:pt idx="74">
                  <c:v>23.4763227081748</c:v>
                </c:pt>
                <c:pt idx="75">
                  <c:v>23.7935703123393</c:v>
                </c:pt>
                <c:pt idx="76">
                  <c:v>24.1108179165038</c:v>
                </c:pt>
                <c:pt idx="77">
                  <c:v>24.4280655206683</c:v>
                </c:pt>
                <c:pt idx="78">
                  <c:v>24.7453131248329</c:v>
                </c:pt>
                <c:pt idx="79">
                  <c:v>25.0625607289974</c:v>
                </c:pt>
                <c:pt idx="80">
                  <c:v>25.3798083331619</c:v>
                </c:pt>
                <c:pt idx="81">
                  <c:v>25.6970559373264</c:v>
                </c:pt>
                <c:pt idx="82">
                  <c:v>26.014303541491</c:v>
                </c:pt>
                <c:pt idx="83">
                  <c:v>26.3315511456555</c:v>
                </c:pt>
                <c:pt idx="84">
                  <c:v>26.64879874982</c:v>
                </c:pt>
                <c:pt idx="85">
                  <c:v>26.9660463539845</c:v>
                </c:pt>
                <c:pt idx="86">
                  <c:v>27.283293958149</c:v>
                </c:pt>
                <c:pt idx="87">
                  <c:v>27.6005415623136</c:v>
                </c:pt>
                <c:pt idx="88">
                  <c:v>27.9177891664781</c:v>
                </c:pt>
                <c:pt idx="89">
                  <c:v>28.2350367706426</c:v>
                </c:pt>
                <c:pt idx="90">
                  <c:v>28.5522843748071</c:v>
                </c:pt>
                <c:pt idx="91">
                  <c:v>28.8695319789717</c:v>
                </c:pt>
                <c:pt idx="92">
                  <c:v>29.1867795831362</c:v>
                </c:pt>
                <c:pt idx="93">
                  <c:v>29.5040271873007</c:v>
                </c:pt>
                <c:pt idx="94">
                  <c:v>29.8212747914652</c:v>
                </c:pt>
                <c:pt idx="95">
                  <c:v>30.1385223956298</c:v>
                </c:pt>
                <c:pt idx="96">
                  <c:v>30.4557699997943</c:v>
                </c:pt>
                <c:pt idx="97">
                  <c:v>30.7730176039588</c:v>
                </c:pt>
                <c:pt idx="98">
                  <c:v>31.0902652081233</c:v>
                </c:pt>
                <c:pt idx="99">
                  <c:v>31.4075128122878</c:v>
                </c:pt>
              </c:numCache>
            </c:numRef>
          </c:xVal>
          <c:yVal>
            <c:numRef>
              <c:f>'Index finger results'!$L$3:$L$102</c:f>
              <c:numCache>
                <c:formatCode>General</c:formatCode>
                <c:ptCount val="100"/>
                <c:pt idx="0">
                  <c:v>0</c:v>
                </c:pt>
                <c:pt idx="1">
                  <c:v>0.221802025185342</c:v>
                </c:pt>
                <c:pt idx="2">
                  <c:v>0.443604050370685</c:v>
                </c:pt>
                <c:pt idx="3">
                  <c:v>0.654409979008649</c:v>
                </c:pt>
                <c:pt idx="4">
                  <c:v>0.854009501344379</c:v>
                </c:pt>
                <c:pt idx="5">
                  <c:v>1.05360902368011</c:v>
                </c:pt>
                <c:pt idx="6">
                  <c:v>1.24347850294171</c:v>
                </c:pt>
                <c:pt idx="7">
                  <c:v>1.42941055864652</c:v>
                </c:pt>
                <c:pt idx="8">
                  <c:v>1.61534261435132</c:v>
                </c:pt>
                <c:pt idx="9">
                  <c:v>1.79556029518199</c:v>
                </c:pt>
                <c:pt idx="10">
                  <c:v>1.97359916890162</c:v>
                </c:pt>
                <c:pt idx="11">
                  <c:v>2.15163804262124</c:v>
                </c:pt>
                <c:pt idx="12">
                  <c:v>2.32741717339142</c:v>
                </c:pt>
                <c:pt idx="13">
                  <c:v>2.50171193808988</c:v>
                </c:pt>
                <c:pt idx="14">
                  <c:v>2.67600670278834</c:v>
                </c:pt>
                <c:pt idx="15">
                  <c:v>2.85004555473179</c:v>
                </c:pt>
                <c:pt idx="16">
                  <c:v>3.02372528931256</c:v>
                </c:pt>
                <c:pt idx="17">
                  <c:v>3.19740502389333</c:v>
                </c:pt>
                <c:pt idx="18">
                  <c:v>3.37148505868474</c:v>
                </c:pt>
                <c:pt idx="19">
                  <c:v>3.54700642001407</c:v>
                </c:pt>
                <c:pt idx="20">
                  <c:v>3.7225277813434</c:v>
                </c:pt>
                <c:pt idx="21">
                  <c:v>3.89824940198662</c:v>
                </c:pt>
                <c:pt idx="22">
                  <c:v>4.07760797003791</c:v>
                </c:pt>
                <c:pt idx="23">
                  <c:v>4.2569665380892</c:v>
                </c:pt>
                <c:pt idx="24">
                  <c:v>4.43632510614049</c:v>
                </c:pt>
                <c:pt idx="25">
                  <c:v>4.62094048986243</c:v>
                </c:pt>
                <c:pt idx="26">
                  <c:v>4.80580512642726</c:v>
                </c:pt>
                <c:pt idx="27">
                  <c:v>4.99066976299211</c:v>
                </c:pt>
                <c:pt idx="28">
                  <c:v>5.18212103054424</c:v>
                </c:pt>
                <c:pt idx="29">
                  <c:v>5.37392239943463</c:v>
                </c:pt>
                <c:pt idx="30">
                  <c:v>5.56615791790167</c:v>
                </c:pt>
                <c:pt idx="31">
                  <c:v>5.76614858072114</c:v>
                </c:pt>
                <c:pt idx="32">
                  <c:v>5.96613924354061</c:v>
                </c:pt>
                <c:pt idx="33">
                  <c:v>6.16868995615678</c:v>
                </c:pt>
                <c:pt idx="34">
                  <c:v>6.37798627631344</c:v>
                </c:pt>
                <c:pt idx="35">
                  <c:v>6.5872825964701</c:v>
                </c:pt>
                <c:pt idx="36">
                  <c:v>6.80298202823084</c:v>
                </c:pt>
                <c:pt idx="37">
                  <c:v>7.02259413998296</c:v>
                </c:pt>
                <c:pt idx="38">
                  <c:v>7.24322921007945</c:v>
                </c:pt>
                <c:pt idx="39">
                  <c:v>7.47408300069798</c:v>
                </c:pt>
                <c:pt idx="40">
                  <c:v>7.70493679131652</c:v>
                </c:pt>
                <c:pt idx="41">
                  <c:v>7.94407259496946</c:v>
                </c:pt>
                <c:pt idx="42">
                  <c:v>8.18702625377994</c:v>
                </c:pt>
                <c:pt idx="43">
                  <c:v>8.43511276891256</c:v>
                </c:pt>
                <c:pt idx="44">
                  <c:v>8.69096958718504</c:v>
                </c:pt>
                <c:pt idx="45">
                  <c:v>8.94992003690746</c:v>
                </c:pt>
                <c:pt idx="46">
                  <c:v>9.21943858503251</c:v>
                </c:pt>
                <c:pt idx="47">
                  <c:v>9.49133272406526</c:v>
                </c:pt>
                <c:pt idx="48">
                  <c:v>9.77523516655608</c:v>
                </c:pt>
                <c:pt idx="49">
                  <c:v>10.0622781079969</c:v>
                </c:pt>
                <c:pt idx="50">
                  <c:v>10.3612571715568</c:v>
                </c:pt>
                <c:pt idx="51">
                  <c:v>10.6657492942969</c:v>
                </c:pt>
                <c:pt idx="52">
                  <c:v>10.9804742364464</c:v>
                </c:pt>
                <c:pt idx="53">
                  <c:v>11.3047899898353</c:v>
                </c:pt>
                <c:pt idx="54">
                  <c:v>11.6359117987328</c:v>
                </c:pt>
                <c:pt idx="55">
                  <c:v>11.9824856247416</c:v>
                </c:pt>
                <c:pt idx="56">
                  <c:v>12.3361416710843</c:v>
                </c:pt>
                <c:pt idx="57">
                  <c:v>12.701959462357</c:v>
                </c:pt>
                <c:pt idx="58">
                  <c:v>13.0822712796948</c:v>
                </c:pt>
                <c:pt idx="59">
                  <c:v>13.4729194307099</c:v>
                </c:pt>
                <c:pt idx="60">
                  <c:v>13.875922567277</c:v>
                </c:pt>
                <c:pt idx="61">
                  <c:v>14.2978177995633</c:v>
                </c:pt>
                <c:pt idx="62">
                  <c:v>14.7334920000607</c:v>
                </c:pt>
                <c:pt idx="63">
                  <c:v>15.1844179416479</c:v>
                </c:pt>
                <c:pt idx="64">
                  <c:v>15.6521043838472</c:v>
                </c:pt>
                <c:pt idx="65">
                  <c:v>16.1380942188411</c:v>
                </c:pt>
                <c:pt idx="66">
                  <c:v>16.6449346973953</c:v>
                </c:pt>
                <c:pt idx="67">
                  <c:v>17.173463610594</c:v>
                </c:pt>
                <c:pt idx="68">
                  <c:v>17.7241193052796</c:v>
                </c:pt>
                <c:pt idx="69">
                  <c:v>18.2985405434982</c:v>
                </c:pt>
                <c:pt idx="70">
                  <c:v>18.8987891751524</c:v>
                </c:pt>
                <c:pt idx="71">
                  <c:v>19.5286922747722</c:v>
                </c:pt>
                <c:pt idx="72">
                  <c:v>20.1884771936595</c:v>
                </c:pt>
                <c:pt idx="73">
                  <c:v>20.879855002619</c:v>
                </c:pt>
                <c:pt idx="74">
                  <c:v>21.60452687231</c:v>
                </c:pt>
                <c:pt idx="75">
                  <c:v>22.3695463237645</c:v>
                </c:pt>
                <c:pt idx="76">
                  <c:v>23.1746505603016</c:v>
                </c:pt>
                <c:pt idx="77">
                  <c:v>24.0236540959343</c:v>
                </c:pt>
                <c:pt idx="78">
                  <c:v>24.9201788603813</c:v>
                </c:pt>
                <c:pt idx="79">
                  <c:v>25.8699488451635</c:v>
                </c:pt>
                <c:pt idx="80">
                  <c:v>26.8739839112923</c:v>
                </c:pt>
                <c:pt idx="81">
                  <c:v>27.9373904363613</c:v>
                </c:pt>
                <c:pt idx="82">
                  <c:v>29.0644630355543</c:v>
                </c:pt>
                <c:pt idx="83">
                  <c:v>30.2583419923455</c:v>
                </c:pt>
                <c:pt idx="84">
                  <c:v>31.5205485215867</c:v>
                </c:pt>
                <c:pt idx="85">
                  <c:v>32.8519145890759</c:v>
                </c:pt>
                <c:pt idx="86">
                  <c:v>34.2510302680774</c:v>
                </c:pt>
                <c:pt idx="87">
                  <c:v>35.7101185669253</c:v>
                </c:pt>
                <c:pt idx="88">
                  <c:v>37.2207929902671</c:v>
                </c:pt>
                <c:pt idx="89">
                  <c:v>38.7744078733524</c:v>
                </c:pt>
                <c:pt idx="90">
                  <c:v>40.3598438157855</c:v>
                </c:pt>
                <c:pt idx="91">
                  <c:v>41.9688490188079</c:v>
                </c:pt>
                <c:pt idx="92">
                  <c:v>43.594400014086</c:v>
                </c:pt>
                <c:pt idx="93">
                  <c:v>45.2305687791658</c:v>
                </c:pt>
                <c:pt idx="94">
                  <c:v>46.8721918749226</c:v>
                </c:pt>
                <c:pt idx="95">
                  <c:v>48.5145409145604</c:v>
                </c:pt>
                <c:pt idx="96">
                  <c:v>50.1530668672905</c:v>
                </c:pt>
                <c:pt idx="97">
                  <c:v>51.7832340857575</c:v>
                </c:pt>
                <c:pt idx="98">
                  <c:v>53.400439936264</c:v>
                </c:pt>
                <c:pt idx="99">
                  <c:v>55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'Index finger results'!$M$2</c:f>
              <c:strCache>
                <c:ptCount val="1"/>
                <c:pt idx="0">
                  <c:v>45 deg deflection line</c:v>
                </c:pt>
              </c:strCache>
            </c:strRef>
          </c:tx>
          <c:spPr>
            <a:ln w="12600" cap="rnd" cmpd="sng" algn="ctr">
              <a:solidFill>
                <a:srgbClr val="4472C4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xVal>
            <c:numRef>
              <c:f>'Index finger results'!$H$3:$H$102</c:f>
              <c:numCache>
                <c:formatCode>General</c:formatCode>
                <c:ptCount val="100"/>
                <c:pt idx="0">
                  <c:v>0</c:v>
                </c:pt>
                <c:pt idx="1">
                  <c:v>0.317247604164523</c:v>
                </c:pt>
                <c:pt idx="2">
                  <c:v>0.634495208329046</c:v>
                </c:pt>
                <c:pt idx="3">
                  <c:v>0.95174281249357</c:v>
                </c:pt>
                <c:pt idx="4">
                  <c:v>1.26899041665809</c:v>
                </c:pt>
                <c:pt idx="5">
                  <c:v>1.58623802082262</c:v>
                </c:pt>
                <c:pt idx="6">
                  <c:v>1.90348562498714</c:v>
                </c:pt>
                <c:pt idx="7">
                  <c:v>2.22073322915167</c:v>
                </c:pt>
                <c:pt idx="8">
                  <c:v>2.53798083331619</c:v>
                </c:pt>
                <c:pt idx="9">
                  <c:v>2.85522843748072</c:v>
                </c:pt>
                <c:pt idx="10">
                  <c:v>3.17247604164524</c:v>
                </c:pt>
                <c:pt idx="11">
                  <c:v>3.48972364580976</c:v>
                </c:pt>
                <c:pt idx="12">
                  <c:v>3.80697124997429</c:v>
                </c:pt>
                <c:pt idx="13">
                  <c:v>4.12421885413881</c:v>
                </c:pt>
                <c:pt idx="14">
                  <c:v>4.44146645830333</c:v>
                </c:pt>
                <c:pt idx="15">
                  <c:v>4.75871406246786</c:v>
                </c:pt>
                <c:pt idx="16">
                  <c:v>5.07596166663238</c:v>
                </c:pt>
                <c:pt idx="17">
                  <c:v>5.3932092707969</c:v>
                </c:pt>
                <c:pt idx="18">
                  <c:v>5.71045687496143</c:v>
                </c:pt>
                <c:pt idx="19">
                  <c:v>6.02770447912596</c:v>
                </c:pt>
                <c:pt idx="20">
                  <c:v>6.34495208329048</c:v>
                </c:pt>
                <c:pt idx="21">
                  <c:v>6.662199687455</c:v>
                </c:pt>
                <c:pt idx="22">
                  <c:v>6.97944729161952</c:v>
                </c:pt>
                <c:pt idx="23">
                  <c:v>7.29669489578405</c:v>
                </c:pt>
                <c:pt idx="24">
                  <c:v>7.61394249994857</c:v>
                </c:pt>
                <c:pt idx="25">
                  <c:v>7.93119010411309</c:v>
                </c:pt>
                <c:pt idx="26">
                  <c:v>8.24843770827762</c:v>
                </c:pt>
                <c:pt idx="27">
                  <c:v>8.56568531244214</c:v>
                </c:pt>
                <c:pt idx="28">
                  <c:v>8.88293291660667</c:v>
                </c:pt>
                <c:pt idx="29">
                  <c:v>9.20018052077119</c:v>
                </c:pt>
                <c:pt idx="30">
                  <c:v>9.51742812493571</c:v>
                </c:pt>
                <c:pt idx="31">
                  <c:v>9.83467572910024</c:v>
                </c:pt>
                <c:pt idx="32">
                  <c:v>10.1519233332648</c:v>
                </c:pt>
                <c:pt idx="33">
                  <c:v>10.4691709374293</c:v>
                </c:pt>
                <c:pt idx="34">
                  <c:v>10.7864185415938</c:v>
                </c:pt>
                <c:pt idx="35">
                  <c:v>11.1036661457583</c:v>
                </c:pt>
                <c:pt idx="36">
                  <c:v>11.4209137499229</c:v>
                </c:pt>
                <c:pt idx="37">
                  <c:v>11.7381613540874</c:v>
                </c:pt>
                <c:pt idx="38">
                  <c:v>12.0554089582519</c:v>
                </c:pt>
                <c:pt idx="39">
                  <c:v>12.3726565624164</c:v>
                </c:pt>
                <c:pt idx="40">
                  <c:v>12.689904166581</c:v>
                </c:pt>
                <c:pt idx="41">
                  <c:v>13.0071517707455</c:v>
                </c:pt>
                <c:pt idx="42">
                  <c:v>13.32439937491</c:v>
                </c:pt>
                <c:pt idx="43">
                  <c:v>13.6416469790745</c:v>
                </c:pt>
                <c:pt idx="44">
                  <c:v>13.958894583239</c:v>
                </c:pt>
                <c:pt idx="45">
                  <c:v>14.2761421874036</c:v>
                </c:pt>
                <c:pt idx="46">
                  <c:v>14.5933897915681</c:v>
                </c:pt>
                <c:pt idx="47">
                  <c:v>14.9106373957326</c:v>
                </c:pt>
                <c:pt idx="48">
                  <c:v>15.2278849998971</c:v>
                </c:pt>
                <c:pt idx="49">
                  <c:v>15.5451326040617</c:v>
                </c:pt>
                <c:pt idx="50">
                  <c:v>15.8623802082262</c:v>
                </c:pt>
                <c:pt idx="51">
                  <c:v>16.1796278123907</c:v>
                </c:pt>
                <c:pt idx="52">
                  <c:v>16.4968754165552</c:v>
                </c:pt>
                <c:pt idx="53">
                  <c:v>16.8141230207198</c:v>
                </c:pt>
                <c:pt idx="54">
                  <c:v>17.1313706248843</c:v>
                </c:pt>
                <c:pt idx="55">
                  <c:v>17.4486182290488</c:v>
                </c:pt>
                <c:pt idx="56">
                  <c:v>17.7658658332133</c:v>
                </c:pt>
                <c:pt idx="57">
                  <c:v>18.0831134373779</c:v>
                </c:pt>
                <c:pt idx="58">
                  <c:v>18.4003610415424</c:v>
                </c:pt>
                <c:pt idx="59">
                  <c:v>18.7176086457069</c:v>
                </c:pt>
                <c:pt idx="60">
                  <c:v>19.0348562498714</c:v>
                </c:pt>
                <c:pt idx="61">
                  <c:v>19.352103854036</c:v>
                </c:pt>
                <c:pt idx="62">
                  <c:v>19.6693514582005</c:v>
                </c:pt>
                <c:pt idx="63">
                  <c:v>19.986599062365</c:v>
                </c:pt>
                <c:pt idx="64">
                  <c:v>20.3038466665295</c:v>
                </c:pt>
                <c:pt idx="65">
                  <c:v>20.621094270694</c:v>
                </c:pt>
                <c:pt idx="66">
                  <c:v>20.9383418748586</c:v>
                </c:pt>
                <c:pt idx="67">
                  <c:v>21.2555894790231</c:v>
                </c:pt>
                <c:pt idx="68">
                  <c:v>21.5728370831876</c:v>
                </c:pt>
                <c:pt idx="69">
                  <c:v>21.8900846873521</c:v>
                </c:pt>
                <c:pt idx="70">
                  <c:v>22.2073322915167</c:v>
                </c:pt>
                <c:pt idx="71">
                  <c:v>22.5245798956812</c:v>
                </c:pt>
                <c:pt idx="72">
                  <c:v>22.8418274998457</c:v>
                </c:pt>
                <c:pt idx="73">
                  <c:v>23.1590751040102</c:v>
                </c:pt>
                <c:pt idx="74">
                  <c:v>23.4763227081748</c:v>
                </c:pt>
                <c:pt idx="75">
                  <c:v>23.7935703123393</c:v>
                </c:pt>
                <c:pt idx="76">
                  <c:v>24.1108179165038</c:v>
                </c:pt>
                <c:pt idx="77">
                  <c:v>24.4280655206683</c:v>
                </c:pt>
                <c:pt idx="78">
                  <c:v>24.7453131248329</c:v>
                </c:pt>
                <c:pt idx="79">
                  <c:v>25.0625607289974</c:v>
                </c:pt>
                <c:pt idx="80">
                  <c:v>25.3798083331619</c:v>
                </c:pt>
                <c:pt idx="81">
                  <c:v>25.6970559373264</c:v>
                </c:pt>
                <c:pt idx="82">
                  <c:v>26.014303541491</c:v>
                </c:pt>
                <c:pt idx="83">
                  <c:v>26.3315511456555</c:v>
                </c:pt>
                <c:pt idx="84">
                  <c:v>26.64879874982</c:v>
                </c:pt>
                <c:pt idx="85">
                  <c:v>26.9660463539845</c:v>
                </c:pt>
                <c:pt idx="86">
                  <c:v>27.283293958149</c:v>
                </c:pt>
                <c:pt idx="87">
                  <c:v>27.6005415623136</c:v>
                </c:pt>
                <c:pt idx="88">
                  <c:v>27.9177891664781</c:v>
                </c:pt>
                <c:pt idx="89">
                  <c:v>28.2350367706426</c:v>
                </c:pt>
                <c:pt idx="90">
                  <c:v>28.5522843748071</c:v>
                </c:pt>
                <c:pt idx="91">
                  <c:v>28.8695319789717</c:v>
                </c:pt>
                <c:pt idx="92">
                  <c:v>29.1867795831362</c:v>
                </c:pt>
                <c:pt idx="93">
                  <c:v>29.5040271873007</c:v>
                </c:pt>
                <c:pt idx="94">
                  <c:v>29.8212747914652</c:v>
                </c:pt>
                <c:pt idx="95">
                  <c:v>30.1385223956298</c:v>
                </c:pt>
                <c:pt idx="96">
                  <c:v>30.4557699997943</c:v>
                </c:pt>
                <c:pt idx="97">
                  <c:v>30.7730176039588</c:v>
                </c:pt>
                <c:pt idx="98">
                  <c:v>31.0902652081233</c:v>
                </c:pt>
                <c:pt idx="99">
                  <c:v>31.4075128122878</c:v>
                </c:pt>
              </c:numCache>
            </c:numRef>
          </c:xVal>
          <c:yVal>
            <c:numRef>
              <c:f>'Index finger results'!$M$3:$M$102</c:f>
              <c:numCache>
                <c:formatCode>General</c:formatCode>
                <c:ptCount val="10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45</c:v>
                </c:pt>
                <c:pt idx="7">
                  <c:v>45</c:v>
                </c:pt>
                <c:pt idx="8">
                  <c:v>45</c:v>
                </c:pt>
                <c:pt idx="9">
                  <c:v>45</c:v>
                </c:pt>
                <c:pt idx="10">
                  <c:v>45</c:v>
                </c:pt>
                <c:pt idx="11">
                  <c:v>45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45</c:v>
                </c:pt>
                <c:pt idx="17">
                  <c:v>45</c:v>
                </c:pt>
                <c:pt idx="18">
                  <c:v>45</c:v>
                </c:pt>
                <c:pt idx="19">
                  <c:v>45</c:v>
                </c:pt>
                <c:pt idx="20">
                  <c:v>45</c:v>
                </c:pt>
                <c:pt idx="21">
                  <c:v>45</c:v>
                </c:pt>
                <c:pt idx="22">
                  <c:v>45</c:v>
                </c:pt>
                <c:pt idx="23">
                  <c:v>45</c:v>
                </c:pt>
                <c:pt idx="24">
                  <c:v>45</c:v>
                </c:pt>
                <c:pt idx="25">
                  <c:v>45</c:v>
                </c:pt>
                <c:pt idx="26">
                  <c:v>45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45</c:v>
                </c:pt>
                <c:pt idx="31">
                  <c:v>45</c:v>
                </c:pt>
                <c:pt idx="32">
                  <c:v>45</c:v>
                </c:pt>
                <c:pt idx="33">
                  <c:v>45</c:v>
                </c:pt>
                <c:pt idx="34">
                  <c:v>45</c:v>
                </c:pt>
                <c:pt idx="35">
                  <c:v>45</c:v>
                </c:pt>
                <c:pt idx="36">
                  <c:v>45</c:v>
                </c:pt>
                <c:pt idx="37">
                  <c:v>45</c:v>
                </c:pt>
                <c:pt idx="38">
                  <c:v>45</c:v>
                </c:pt>
                <c:pt idx="39">
                  <c:v>45</c:v>
                </c:pt>
                <c:pt idx="40">
                  <c:v>45</c:v>
                </c:pt>
                <c:pt idx="41">
                  <c:v>45</c:v>
                </c:pt>
                <c:pt idx="42">
                  <c:v>45</c:v>
                </c:pt>
                <c:pt idx="43">
                  <c:v>45</c:v>
                </c:pt>
                <c:pt idx="44">
                  <c:v>45</c:v>
                </c:pt>
                <c:pt idx="45">
                  <c:v>45</c:v>
                </c:pt>
                <c:pt idx="46">
                  <c:v>45</c:v>
                </c:pt>
                <c:pt idx="47">
                  <c:v>45</c:v>
                </c:pt>
                <c:pt idx="48">
                  <c:v>45</c:v>
                </c:pt>
                <c:pt idx="49">
                  <c:v>45</c:v>
                </c:pt>
                <c:pt idx="50">
                  <c:v>45</c:v>
                </c:pt>
                <c:pt idx="51">
                  <c:v>45</c:v>
                </c:pt>
                <c:pt idx="52">
                  <c:v>45</c:v>
                </c:pt>
                <c:pt idx="53">
                  <c:v>45</c:v>
                </c:pt>
                <c:pt idx="54">
                  <c:v>45</c:v>
                </c:pt>
                <c:pt idx="55">
                  <c:v>45</c:v>
                </c:pt>
                <c:pt idx="56">
                  <c:v>45</c:v>
                </c:pt>
                <c:pt idx="57">
                  <c:v>45</c:v>
                </c:pt>
                <c:pt idx="58">
                  <c:v>45</c:v>
                </c:pt>
                <c:pt idx="59">
                  <c:v>45</c:v>
                </c:pt>
                <c:pt idx="60">
                  <c:v>45</c:v>
                </c:pt>
                <c:pt idx="61">
                  <c:v>45</c:v>
                </c:pt>
                <c:pt idx="62">
                  <c:v>45</c:v>
                </c:pt>
                <c:pt idx="63">
                  <c:v>45</c:v>
                </c:pt>
                <c:pt idx="64">
                  <c:v>45</c:v>
                </c:pt>
                <c:pt idx="65">
                  <c:v>45</c:v>
                </c:pt>
                <c:pt idx="66">
                  <c:v>45</c:v>
                </c:pt>
                <c:pt idx="67">
                  <c:v>45</c:v>
                </c:pt>
                <c:pt idx="68">
                  <c:v>45</c:v>
                </c:pt>
                <c:pt idx="69">
                  <c:v>45</c:v>
                </c:pt>
                <c:pt idx="70">
                  <c:v>45</c:v>
                </c:pt>
                <c:pt idx="71">
                  <c:v>45</c:v>
                </c:pt>
                <c:pt idx="72">
                  <c:v>45</c:v>
                </c:pt>
                <c:pt idx="73">
                  <c:v>45</c:v>
                </c:pt>
                <c:pt idx="74">
                  <c:v>45</c:v>
                </c:pt>
                <c:pt idx="75">
                  <c:v>45</c:v>
                </c:pt>
                <c:pt idx="76">
                  <c:v>45</c:v>
                </c:pt>
                <c:pt idx="77">
                  <c:v>45</c:v>
                </c:pt>
                <c:pt idx="78">
                  <c:v>45</c:v>
                </c:pt>
                <c:pt idx="79">
                  <c:v>45</c:v>
                </c:pt>
                <c:pt idx="80">
                  <c:v>45</c:v>
                </c:pt>
                <c:pt idx="81">
                  <c:v>45</c:v>
                </c:pt>
                <c:pt idx="82">
                  <c:v>45</c:v>
                </c:pt>
                <c:pt idx="83">
                  <c:v>45</c:v>
                </c:pt>
                <c:pt idx="84">
                  <c:v>45</c:v>
                </c:pt>
                <c:pt idx="85">
                  <c:v>45</c:v>
                </c:pt>
                <c:pt idx="86">
                  <c:v>45</c:v>
                </c:pt>
                <c:pt idx="87">
                  <c:v>45</c:v>
                </c:pt>
                <c:pt idx="88">
                  <c:v>45</c:v>
                </c:pt>
                <c:pt idx="89">
                  <c:v>45</c:v>
                </c:pt>
                <c:pt idx="90">
                  <c:v>45</c:v>
                </c:pt>
                <c:pt idx="91">
                  <c:v>45</c:v>
                </c:pt>
                <c:pt idx="92">
                  <c:v>45</c:v>
                </c:pt>
                <c:pt idx="93">
                  <c:v>45</c:v>
                </c:pt>
                <c:pt idx="94">
                  <c:v>45</c:v>
                </c:pt>
                <c:pt idx="95">
                  <c:v>45</c:v>
                </c:pt>
                <c:pt idx="96">
                  <c:v>45</c:v>
                </c:pt>
                <c:pt idx="97">
                  <c:v>45</c:v>
                </c:pt>
                <c:pt idx="98">
                  <c:v>45</c:v>
                </c:pt>
                <c:pt idx="99">
                  <c:v>45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axId val="55362634"/>
        <c:axId val="8451907"/>
      </c:scatterChart>
      <c:valAx>
        <c:axId val="55362634"/>
        <c:scaling>
          <c:orientation val="minMax"/>
          <c:max val="35"/>
        </c:scaling>
        <c:delete val="0"/>
        <c:axPos val="b"/>
        <c:majorGridlines>
          <c:spPr>
            <a:ln w="9360" cap="flat" cmpd="sng" algn="ctr">
              <a:solidFill>
                <a:srgbClr val="D9D9D9"/>
              </a:solidFill>
              <a:prstDash val="solid"/>
              <a:round/>
            </a:ln>
          </c:spPr>
        </c:majorGridlines>
        <c:minorGridlines>
          <c:spPr>
            <a:ln w="9360" cap="flat" cmpd="sng" algn="ctr">
              <a:solidFill>
                <a:srgbClr val="F2F2F2"/>
              </a:solidFill>
              <a:prstDash val="solid"/>
              <a:round/>
            </a:ln>
          </c:spPr>
        </c:minorGridlines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IN" sz="1000" b="0" i="0" u="none" strike="noStrike" kern="1200" spc="-1" baseline="0">
                    <a:solidFill>
                      <a:srgbClr val="595959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lang="en-IN" sz="1000" b="0" strike="noStrike" spc="-1">
                    <a:solidFill>
                      <a:srgbClr val="595959"/>
                    </a:solidFill>
                    <a:latin typeface="Calibri" panose="020F0502020204030204"/>
                  </a:rPr>
                  <a:t>Actuator displacement (mm)</a:t>
                </a:r>
                <a:endParaRPr lang="en-IN" sz="1000" b="0" strike="noStrike" spc="-1">
                  <a:solidFill>
                    <a:srgbClr val="595959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BFBFB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spc="-1" baseline="0">
                <a:solidFill>
                  <a:srgbClr val="595959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8451907"/>
        <c:crosses val="autoZero"/>
        <c:crossBetween val="midCat"/>
      </c:valAx>
      <c:valAx>
        <c:axId val="8451907"/>
        <c:scaling>
          <c:orientation val="minMax"/>
          <c:max val="120"/>
        </c:scaling>
        <c:delete val="0"/>
        <c:axPos val="l"/>
        <c:majorGridlines>
          <c:spPr>
            <a:ln w="9360" cap="flat" cmpd="sng" algn="ctr">
              <a:solidFill>
                <a:srgbClr val="D9D9D9"/>
              </a:solidFill>
              <a:prstDash val="solid"/>
              <a:round/>
            </a:ln>
          </c:spPr>
        </c:majorGridlines>
        <c:minorGridlines>
          <c:spPr>
            <a:ln w="9360" cap="flat" cmpd="sng" algn="ctr">
              <a:solidFill>
                <a:srgbClr val="F2F2F2"/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IN" sz="1000" b="0" i="0" u="none" strike="noStrike" kern="1200" spc="-1" baseline="0">
                    <a:solidFill>
                      <a:srgbClr val="595959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lang="en-IN" sz="1000" b="0" strike="noStrike" spc="-1">
                    <a:solidFill>
                      <a:srgbClr val="595959"/>
                    </a:solidFill>
                    <a:latin typeface="Calibri" panose="020F0502020204030204"/>
                  </a:rPr>
                  <a:t>Magnitude of angular displacement (deg)</a:t>
                </a:r>
                <a:endParaRPr lang="en-IN" sz="1000" b="0" strike="noStrike" spc="-1">
                  <a:solidFill>
                    <a:srgbClr val="595959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BFBFB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spc="-1" baseline="0">
                <a:solidFill>
                  <a:srgbClr val="595959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55362634"/>
        <c:crosses val="autoZero"/>
        <c:crossBetween val="midCat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spc="-1" baseline="0">
              <a:solidFill>
                <a:srgbClr val="595959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IN" sz="1400" b="0" i="0" u="none" strike="noStrike" kern="1200" spc="-1" baseline="0">
                <a:solidFill>
                  <a:srgbClr val="595959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lang="en-IN" sz="1400" b="0" strike="noStrike" spc="-1">
                <a:solidFill>
                  <a:srgbClr val="595959"/>
                </a:solidFill>
                <a:latin typeface="Calibri" panose="020F0502020204030204"/>
              </a:rPr>
              <a:t>Index finger</a:t>
            </a:r>
            <a:endParaRPr lang="en-IN" sz="1400" b="0" strike="noStrike" spc="-1">
              <a:solidFill>
                <a:srgbClr val="595959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scatterChart>
        <c:scatterStyle val="line"/>
        <c:varyColors val="0"/>
        <c:ser>
          <c:idx val="0"/>
          <c:order val="0"/>
          <c:spPr>
            <a:ln w="19080" cap="rnd" cmpd="sng" algn="ctr">
              <a:solidFill>
                <a:srgbClr val="5B9BD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xVal>
            <c:numRef>
              <c:f>'Index finger results'!$H$4:$H$102</c:f>
              <c:numCache>
                <c:formatCode>General</c:formatCode>
                <c:ptCount val="99"/>
                <c:pt idx="0">
                  <c:v>0.317247604164523</c:v>
                </c:pt>
                <c:pt idx="1">
                  <c:v>0.634495208329046</c:v>
                </c:pt>
                <c:pt idx="2">
                  <c:v>0.95174281249357</c:v>
                </c:pt>
                <c:pt idx="3">
                  <c:v>1.26899041665809</c:v>
                </c:pt>
                <c:pt idx="4">
                  <c:v>1.58623802082262</c:v>
                </c:pt>
                <c:pt idx="5">
                  <c:v>1.90348562498714</c:v>
                </c:pt>
                <c:pt idx="6">
                  <c:v>2.22073322915167</c:v>
                </c:pt>
                <c:pt idx="7">
                  <c:v>2.53798083331619</c:v>
                </c:pt>
                <c:pt idx="8">
                  <c:v>2.85522843748072</c:v>
                </c:pt>
                <c:pt idx="9">
                  <c:v>3.17247604164524</c:v>
                </c:pt>
                <c:pt idx="10">
                  <c:v>3.48972364580976</c:v>
                </c:pt>
                <c:pt idx="11">
                  <c:v>3.80697124997429</c:v>
                </c:pt>
                <c:pt idx="12">
                  <c:v>4.12421885413881</c:v>
                </c:pt>
                <c:pt idx="13">
                  <c:v>4.44146645830333</c:v>
                </c:pt>
                <c:pt idx="14">
                  <c:v>4.75871406246786</c:v>
                </c:pt>
                <c:pt idx="15">
                  <c:v>5.07596166663238</c:v>
                </c:pt>
                <c:pt idx="16">
                  <c:v>5.3932092707969</c:v>
                </c:pt>
                <c:pt idx="17">
                  <c:v>5.71045687496143</c:v>
                </c:pt>
                <c:pt idx="18">
                  <c:v>6.02770447912596</c:v>
                </c:pt>
                <c:pt idx="19">
                  <c:v>6.34495208329048</c:v>
                </c:pt>
                <c:pt idx="20">
                  <c:v>6.662199687455</c:v>
                </c:pt>
                <c:pt idx="21">
                  <c:v>6.97944729161952</c:v>
                </c:pt>
                <c:pt idx="22">
                  <c:v>7.29669489578405</c:v>
                </c:pt>
                <c:pt idx="23">
                  <c:v>7.61394249994857</c:v>
                </c:pt>
                <c:pt idx="24">
                  <c:v>7.93119010411309</c:v>
                </c:pt>
                <c:pt idx="25">
                  <c:v>8.24843770827762</c:v>
                </c:pt>
                <c:pt idx="26">
                  <c:v>8.56568531244214</c:v>
                </c:pt>
                <c:pt idx="27">
                  <c:v>8.88293291660667</c:v>
                </c:pt>
                <c:pt idx="28">
                  <c:v>9.20018052077119</c:v>
                </c:pt>
                <c:pt idx="29">
                  <c:v>9.51742812493571</c:v>
                </c:pt>
                <c:pt idx="30">
                  <c:v>9.83467572910024</c:v>
                </c:pt>
                <c:pt idx="31">
                  <c:v>10.1519233332648</c:v>
                </c:pt>
                <c:pt idx="32">
                  <c:v>10.4691709374293</c:v>
                </c:pt>
                <c:pt idx="33">
                  <c:v>10.7864185415938</c:v>
                </c:pt>
                <c:pt idx="34">
                  <c:v>11.1036661457583</c:v>
                </c:pt>
                <c:pt idx="35">
                  <c:v>11.4209137499229</c:v>
                </c:pt>
                <c:pt idx="36">
                  <c:v>11.7381613540874</c:v>
                </c:pt>
                <c:pt idx="37">
                  <c:v>12.0554089582519</c:v>
                </c:pt>
                <c:pt idx="38">
                  <c:v>12.3726565624164</c:v>
                </c:pt>
                <c:pt idx="39">
                  <c:v>12.689904166581</c:v>
                </c:pt>
                <c:pt idx="40">
                  <c:v>13.0071517707455</c:v>
                </c:pt>
                <c:pt idx="41">
                  <c:v>13.32439937491</c:v>
                </c:pt>
                <c:pt idx="42">
                  <c:v>13.6416469790745</c:v>
                </c:pt>
                <c:pt idx="43">
                  <c:v>13.958894583239</c:v>
                </c:pt>
                <c:pt idx="44">
                  <c:v>14.2761421874036</c:v>
                </c:pt>
                <c:pt idx="45">
                  <c:v>14.5933897915681</c:v>
                </c:pt>
                <c:pt idx="46">
                  <c:v>14.9106373957326</c:v>
                </c:pt>
                <c:pt idx="47">
                  <c:v>15.2278849998971</c:v>
                </c:pt>
                <c:pt idx="48">
                  <c:v>15.5451326040617</c:v>
                </c:pt>
                <c:pt idx="49">
                  <c:v>15.8623802082262</c:v>
                </c:pt>
                <c:pt idx="50">
                  <c:v>16.1796278123907</c:v>
                </c:pt>
                <c:pt idx="51">
                  <c:v>16.4968754165552</c:v>
                </c:pt>
                <c:pt idx="52">
                  <c:v>16.8141230207198</c:v>
                </c:pt>
                <c:pt idx="53">
                  <c:v>17.1313706248843</c:v>
                </c:pt>
                <c:pt idx="54">
                  <c:v>17.4486182290488</c:v>
                </c:pt>
                <c:pt idx="55">
                  <c:v>17.7658658332133</c:v>
                </c:pt>
                <c:pt idx="56">
                  <c:v>18.0831134373779</c:v>
                </c:pt>
                <c:pt idx="57">
                  <c:v>18.4003610415424</c:v>
                </c:pt>
                <c:pt idx="58">
                  <c:v>18.7176086457069</c:v>
                </c:pt>
                <c:pt idx="59">
                  <c:v>19.0348562498714</c:v>
                </c:pt>
                <c:pt idx="60">
                  <c:v>19.352103854036</c:v>
                </c:pt>
                <c:pt idx="61">
                  <c:v>19.6693514582005</c:v>
                </c:pt>
                <c:pt idx="62">
                  <c:v>19.986599062365</c:v>
                </c:pt>
                <c:pt idx="63">
                  <c:v>20.3038466665295</c:v>
                </c:pt>
                <c:pt idx="64">
                  <c:v>20.621094270694</c:v>
                </c:pt>
                <c:pt idx="65">
                  <c:v>20.9383418748586</c:v>
                </c:pt>
                <c:pt idx="66">
                  <c:v>21.2555894790231</c:v>
                </c:pt>
                <c:pt idx="67">
                  <c:v>21.5728370831876</c:v>
                </c:pt>
                <c:pt idx="68">
                  <c:v>21.8900846873521</c:v>
                </c:pt>
                <c:pt idx="69">
                  <c:v>22.2073322915167</c:v>
                </c:pt>
                <c:pt idx="70">
                  <c:v>22.5245798956812</c:v>
                </c:pt>
                <c:pt idx="71">
                  <c:v>22.8418274998457</c:v>
                </c:pt>
                <c:pt idx="72">
                  <c:v>23.1590751040102</c:v>
                </c:pt>
                <c:pt idx="73">
                  <c:v>23.4763227081748</c:v>
                </c:pt>
                <c:pt idx="74">
                  <c:v>23.7935703123393</c:v>
                </c:pt>
                <c:pt idx="75">
                  <c:v>24.1108179165038</c:v>
                </c:pt>
                <c:pt idx="76">
                  <c:v>24.4280655206683</c:v>
                </c:pt>
                <c:pt idx="77">
                  <c:v>24.7453131248329</c:v>
                </c:pt>
                <c:pt idx="78">
                  <c:v>25.0625607289974</c:v>
                </c:pt>
                <c:pt idx="79">
                  <c:v>25.3798083331619</c:v>
                </c:pt>
                <c:pt idx="80">
                  <c:v>25.6970559373264</c:v>
                </c:pt>
                <c:pt idx="81">
                  <c:v>26.014303541491</c:v>
                </c:pt>
                <c:pt idx="82">
                  <c:v>26.3315511456555</c:v>
                </c:pt>
                <c:pt idx="83">
                  <c:v>26.64879874982</c:v>
                </c:pt>
                <c:pt idx="84">
                  <c:v>26.9660463539845</c:v>
                </c:pt>
                <c:pt idx="85">
                  <c:v>27.283293958149</c:v>
                </c:pt>
                <c:pt idx="86">
                  <c:v>27.6005415623136</c:v>
                </c:pt>
                <c:pt idx="87">
                  <c:v>27.9177891664781</c:v>
                </c:pt>
                <c:pt idx="88">
                  <c:v>28.2350367706426</c:v>
                </c:pt>
                <c:pt idx="89">
                  <c:v>28.5522843748071</c:v>
                </c:pt>
                <c:pt idx="90">
                  <c:v>28.8695319789717</c:v>
                </c:pt>
                <c:pt idx="91">
                  <c:v>29.1867795831362</c:v>
                </c:pt>
                <c:pt idx="92">
                  <c:v>29.5040271873007</c:v>
                </c:pt>
                <c:pt idx="93">
                  <c:v>29.8212747914652</c:v>
                </c:pt>
                <c:pt idx="94">
                  <c:v>30.1385223956298</c:v>
                </c:pt>
                <c:pt idx="95">
                  <c:v>30.4557699997943</c:v>
                </c:pt>
                <c:pt idx="96">
                  <c:v>30.7730176039588</c:v>
                </c:pt>
                <c:pt idx="97">
                  <c:v>31.0902652081233</c:v>
                </c:pt>
                <c:pt idx="98">
                  <c:v>31.4075128122878</c:v>
                </c:pt>
              </c:numCache>
            </c:numRef>
          </c:xVal>
          <c:yVal>
            <c:numRef>
              <c:f>'Index finger results'!$P$4:$P$102</c:f>
              <c:numCache>
                <c:formatCode>General</c:formatCode>
                <c:ptCount val="99"/>
                <c:pt idx="0">
                  <c:v>1.39828967830639</c:v>
                </c:pt>
                <c:pt idx="1">
                  <c:v>1.39828967830639</c:v>
                </c:pt>
                <c:pt idx="2">
                  <c:v>1.3289678211637</c:v>
                </c:pt>
                <c:pt idx="3">
                  <c:v>1.25832012419057</c:v>
                </c:pt>
                <c:pt idx="4">
                  <c:v>1.25832012419053</c:v>
                </c:pt>
                <c:pt idx="5">
                  <c:v>1.1969797518984</c:v>
                </c:pt>
                <c:pt idx="6">
                  <c:v>1.17215735131839</c:v>
                </c:pt>
                <c:pt idx="7">
                  <c:v>1.17215735131843</c:v>
                </c:pt>
                <c:pt idx="8">
                  <c:v>1.13613265137354</c:v>
                </c:pt>
                <c:pt idx="9">
                  <c:v>1.12239696301881</c:v>
                </c:pt>
                <c:pt idx="10">
                  <c:v>1.12239696301881</c:v>
                </c:pt>
                <c:pt idx="11">
                  <c:v>1.10815103699893</c:v>
                </c:pt>
                <c:pt idx="12">
                  <c:v>1.09879326059826</c:v>
                </c:pt>
                <c:pt idx="13">
                  <c:v>1.0987932605983</c:v>
                </c:pt>
                <c:pt idx="14">
                  <c:v>1.09717992923405</c:v>
                </c:pt>
                <c:pt idx="15">
                  <c:v>1.09491597289228</c:v>
                </c:pt>
                <c:pt idx="16">
                  <c:v>1.09491597289228</c:v>
                </c:pt>
                <c:pt idx="17">
                  <c:v>1.09743955513766</c:v>
                </c:pt>
                <c:pt idx="18">
                  <c:v>1.10652600067108</c:v>
                </c:pt>
                <c:pt idx="19">
                  <c:v>1.10652600067108</c:v>
                </c:pt>
                <c:pt idx="20">
                  <c:v>1.10778848026921</c:v>
                </c:pt>
                <c:pt idx="21">
                  <c:v>1.13071661186306</c:v>
                </c:pt>
                <c:pt idx="22">
                  <c:v>1.13071661186299</c:v>
                </c:pt>
                <c:pt idx="23">
                  <c:v>1.13071661186306</c:v>
                </c:pt>
                <c:pt idx="24">
                  <c:v>1.16385675603839</c:v>
                </c:pt>
                <c:pt idx="25">
                  <c:v>1.165428101824</c:v>
                </c:pt>
                <c:pt idx="26">
                  <c:v>1.16542810182403</c:v>
                </c:pt>
                <c:pt idx="27">
                  <c:v>1.20695169980137</c:v>
                </c:pt>
                <c:pt idx="28">
                  <c:v>1.20915881710448</c:v>
                </c:pt>
                <c:pt idx="29">
                  <c:v>1.21189579333944</c:v>
                </c:pt>
                <c:pt idx="30">
                  <c:v>1.26078596146486</c:v>
                </c:pt>
                <c:pt idx="31">
                  <c:v>1.26078596146443</c:v>
                </c:pt>
                <c:pt idx="32">
                  <c:v>1.27692508915637</c:v>
                </c:pt>
                <c:pt idx="33">
                  <c:v>1.31945091095551</c:v>
                </c:pt>
                <c:pt idx="34">
                  <c:v>1.3194509109555</c:v>
                </c:pt>
                <c:pt idx="35">
                  <c:v>1.3598175616093</c:v>
                </c:pt>
                <c:pt idx="36">
                  <c:v>1.38448397320742</c:v>
                </c:pt>
                <c:pt idx="37">
                  <c:v>1.39093293188178</c:v>
                </c:pt>
                <c:pt idx="38">
                  <c:v>1.45535403633086</c:v>
                </c:pt>
                <c:pt idx="39">
                  <c:v>1.45535403633009</c:v>
                </c:pt>
                <c:pt idx="40">
                  <c:v>1.50756570271183</c:v>
                </c:pt>
                <c:pt idx="41">
                  <c:v>1.53163431730455</c:v>
                </c:pt>
                <c:pt idx="42">
                  <c:v>1.56399299396419</c:v>
                </c:pt>
                <c:pt idx="43">
                  <c:v>1.61297872648288</c:v>
                </c:pt>
                <c:pt idx="44">
                  <c:v>1.6324816725049</c:v>
                </c:pt>
                <c:pt idx="45">
                  <c:v>1.69910533341836</c:v>
                </c:pt>
                <c:pt idx="46">
                  <c:v>1.71408159093153</c:v>
                </c:pt>
                <c:pt idx="47">
                  <c:v>1.78978462730102</c:v>
                </c:pt>
                <c:pt idx="48">
                  <c:v>1.80958303654718</c:v>
                </c:pt>
                <c:pt idx="49">
                  <c:v>1.88483102557914</c:v>
                </c:pt>
                <c:pt idx="50">
                  <c:v>1.91958658626917</c:v>
                </c:pt>
                <c:pt idx="51">
                  <c:v>1.984096573264</c:v>
                </c:pt>
                <c:pt idx="52">
                  <c:v>2.04455919686366</c:v>
                </c:pt>
                <c:pt idx="53">
                  <c:v>2.08746609620356</c:v>
                </c:pt>
                <c:pt idx="54">
                  <c:v>2.18487907526667</c:v>
                </c:pt>
                <c:pt idx="55">
                  <c:v>2.22952697955962</c:v>
                </c:pt>
                <c:pt idx="56">
                  <c:v>2.3061973453571</c:v>
                </c:pt>
                <c:pt idx="57">
                  <c:v>2.39757093415684</c:v>
                </c:pt>
                <c:pt idx="58">
                  <c:v>2.46273349829675</c:v>
                </c:pt>
                <c:pt idx="59">
                  <c:v>2.54062209628592</c:v>
                </c:pt>
                <c:pt idx="60">
                  <c:v>2.65972210190344</c:v>
                </c:pt>
                <c:pt idx="61">
                  <c:v>2.74658780572914</c:v>
                </c:pt>
                <c:pt idx="62">
                  <c:v>2.84273819986572</c:v>
                </c:pt>
                <c:pt idx="63">
                  <c:v>2.94840015218393</c:v>
                </c:pt>
                <c:pt idx="64">
                  <c:v>3.06378884262211</c:v>
                </c:pt>
                <c:pt idx="65">
                  <c:v>3.19523597279103</c:v>
                </c:pt>
                <c:pt idx="66">
                  <c:v>3.33196472572665</c:v>
                </c:pt>
                <c:pt idx="67">
                  <c:v>3.4714569154002</c:v>
                </c:pt>
                <c:pt idx="68">
                  <c:v>3.62128022830236</c:v>
                </c:pt>
                <c:pt idx="69">
                  <c:v>3.78410190510263</c:v>
                </c:pt>
                <c:pt idx="70">
                  <c:v>3.97105031748754</c:v>
                </c:pt>
                <c:pt idx="71">
                  <c:v>4.15943200343406</c:v>
                </c:pt>
                <c:pt idx="72">
                  <c:v>4.35860066322867</c:v>
                </c:pt>
                <c:pt idx="73">
                  <c:v>4.56849388413326</c:v>
                </c:pt>
                <c:pt idx="74">
                  <c:v>4.82285408250283</c:v>
                </c:pt>
                <c:pt idx="75">
                  <c:v>5.07555755169503</c:v>
                </c:pt>
                <c:pt idx="76">
                  <c:v>5.35230857215504</c:v>
                </c:pt>
                <c:pt idx="77">
                  <c:v>5.65189304932843</c:v>
                </c:pt>
                <c:pt idx="78">
                  <c:v>5.98756285194654</c:v>
                </c:pt>
                <c:pt idx="79">
                  <c:v>6.32966208695582</c:v>
                </c:pt>
                <c:pt idx="80">
                  <c:v>6.70395307078538</c:v>
                </c:pt>
                <c:pt idx="81">
                  <c:v>7.10531827126571</c:v>
                </c:pt>
                <c:pt idx="82">
                  <c:v>7.52648052259015</c:v>
                </c:pt>
                <c:pt idx="83">
                  <c:v>7.95723285328087</c:v>
                </c:pt>
                <c:pt idx="84">
                  <c:v>8.39323008282742</c:v>
                </c:pt>
                <c:pt idx="85">
                  <c:v>8.82033881823092</c:v>
                </c:pt>
                <c:pt idx="86">
                  <c:v>9.19841965514708</c:v>
                </c:pt>
                <c:pt idx="87">
                  <c:v>9.52363014573613</c:v>
                </c:pt>
                <c:pt idx="88">
                  <c:v>9.79433642802024</c:v>
                </c:pt>
                <c:pt idx="89">
                  <c:v>9.99494351806684</c:v>
                </c:pt>
                <c:pt idx="90">
                  <c:v>10.1435294192964</c:v>
                </c:pt>
                <c:pt idx="91">
                  <c:v>10.2478378020161</c:v>
                </c:pt>
                <c:pt idx="92">
                  <c:v>10.3147746025619</c:v>
                </c:pt>
                <c:pt idx="93">
                  <c:v>10.3491599256058</c:v>
                </c:pt>
                <c:pt idx="94">
                  <c:v>10.3537364385308</c:v>
                </c:pt>
                <c:pt idx="95">
                  <c:v>10.3296348418158</c:v>
                </c:pt>
                <c:pt idx="96">
                  <c:v>10.2769395076139</c:v>
                </c:pt>
                <c:pt idx="97">
                  <c:v>10.195228139015</c:v>
                </c:pt>
                <c:pt idx="98">
                  <c:v>10.0839851443391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axId val="75077968"/>
        <c:axId val="36431519"/>
      </c:scatterChart>
      <c:valAx>
        <c:axId val="75077968"/>
        <c:scaling>
          <c:orientation val="minMax"/>
        </c:scaling>
        <c:delete val="0"/>
        <c:axPos val="b"/>
        <c:majorGridlines>
          <c:spPr>
            <a:ln w="9360" cap="flat" cmpd="sng" algn="ctr">
              <a:solidFill>
                <a:srgbClr val="D9D9D9"/>
              </a:solidFill>
              <a:prstDash val="solid"/>
              <a:round/>
            </a:ln>
          </c:spPr>
        </c:majorGridlines>
        <c:minorGridlines>
          <c:spPr>
            <a:ln w="9360" cap="flat" cmpd="sng" algn="ctr">
              <a:solidFill>
                <a:srgbClr val="F2F2F2"/>
              </a:solidFill>
              <a:prstDash val="solid"/>
              <a:round/>
            </a:ln>
          </c:spPr>
        </c:minorGridlines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IN" sz="1000" b="0" i="0" u="none" strike="noStrike" kern="1200" spc="-1" baseline="0">
                    <a:solidFill>
                      <a:srgbClr val="595959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lang="en-IN" sz="1000" b="0" strike="noStrike" spc="-1">
                    <a:solidFill>
                      <a:srgbClr val="595959"/>
                    </a:solidFill>
                    <a:latin typeface="Calibri" panose="020F0502020204030204"/>
                  </a:rPr>
                  <a:t>Actuator displacement (mm)</a:t>
                </a:r>
                <a:endParaRPr lang="en-IN" sz="1000" b="0" strike="noStrike" spc="-1">
                  <a:solidFill>
                    <a:srgbClr val="595959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BFBFB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spc="-1" baseline="0">
                <a:solidFill>
                  <a:srgbClr val="595959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36431519"/>
        <c:crosses val="autoZero"/>
        <c:crossBetween val="midCat"/>
      </c:valAx>
      <c:valAx>
        <c:axId val="36431519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D9D9D9"/>
              </a:solidFill>
              <a:prstDash val="solid"/>
              <a:round/>
            </a:ln>
          </c:spPr>
        </c:majorGridlines>
        <c:minorGridlines>
          <c:spPr>
            <a:ln w="9360" cap="flat" cmpd="sng" algn="ctr">
              <a:solidFill>
                <a:srgbClr val="F2F2F2"/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rgbClr val="595959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lang="en-US" sz="1000" b="0" strike="noStrike" spc="-1">
                    <a:solidFill>
                      <a:srgbClr val="595959"/>
                    </a:solidFill>
                    <a:latin typeface="Calibri" panose="020F0502020204030204"/>
                  </a:rPr>
                  <a:t>∂(theta1)/∂x</a:t>
                </a:r>
                <a:endParaRPr lang="en-US" sz="1000" b="0" strike="noStrike" spc="-1">
                  <a:solidFill>
                    <a:srgbClr val="595959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BFBFB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spc="-1" baseline="0">
                <a:solidFill>
                  <a:srgbClr val="595959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7507796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0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IN" sz="1400" b="0" i="0" u="none" strike="noStrike" kern="1200" spc="-1" baseline="0">
                <a:solidFill>
                  <a:srgbClr val="595959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lang="en-IN" sz="1400" b="0" strike="noStrike" spc="-1">
                <a:solidFill>
                  <a:srgbClr val="595959"/>
                </a:solidFill>
                <a:latin typeface="Calibri" panose="020F0502020204030204"/>
              </a:rPr>
              <a:t>Allowed angular deflections before length optimization</a:t>
            </a:r>
            <a:endParaRPr lang="en-IN" sz="1400" b="0" strike="noStrike" spc="-1">
              <a:solidFill>
                <a:srgbClr val="595959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scatterChart>
        <c:scatterStyle val="line"/>
        <c:varyColors val="0"/>
        <c:ser>
          <c:idx val="0"/>
          <c:order val="0"/>
          <c:tx>
            <c:strRef>
              <c:f>'Middle finger results'!$B$2</c:f>
              <c:strCache>
                <c:ptCount val="1"/>
                <c:pt idx="0">
                  <c:v>Theta0</c:v>
                </c:pt>
              </c:strCache>
            </c:strRef>
          </c:tx>
          <c:spPr>
            <a:ln w="19080" cap="rnd" cmpd="sng" algn="ctr">
              <a:solidFill>
                <a:srgbClr val="5B9BD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xVal>
            <c:numRef>
              <c:f>'Middle finger results'!$A$3:$A$102</c:f>
              <c:numCache>
                <c:formatCode>General</c:formatCode>
                <c:ptCount val="100"/>
                <c:pt idx="0">
                  <c:v>0</c:v>
                </c:pt>
                <c:pt idx="1">
                  <c:v>0.126080152907884</c:v>
                </c:pt>
                <c:pt idx="2">
                  <c:v>0.252160305815771</c:v>
                </c:pt>
                <c:pt idx="3">
                  <c:v>0.378240458723655</c:v>
                </c:pt>
                <c:pt idx="4">
                  <c:v>0.504320611631539</c:v>
                </c:pt>
                <c:pt idx="5">
                  <c:v>0.630400764539422</c:v>
                </c:pt>
                <c:pt idx="6">
                  <c:v>0.75648091744731</c:v>
                </c:pt>
                <c:pt idx="7">
                  <c:v>0.882561070355193</c:v>
                </c:pt>
                <c:pt idx="8">
                  <c:v>1.00864122326308</c:v>
                </c:pt>
                <c:pt idx="9">
                  <c:v>1.13472137617096</c:v>
                </c:pt>
                <c:pt idx="10">
                  <c:v>1.26080152907885</c:v>
                </c:pt>
                <c:pt idx="11">
                  <c:v>1.38688168198673</c:v>
                </c:pt>
                <c:pt idx="12">
                  <c:v>1.51296183489462</c:v>
                </c:pt>
                <c:pt idx="13">
                  <c:v>1.6390419878025</c:v>
                </c:pt>
                <c:pt idx="14">
                  <c:v>1.76512214071039</c:v>
                </c:pt>
                <c:pt idx="15">
                  <c:v>1.89120229361827</c:v>
                </c:pt>
                <c:pt idx="16">
                  <c:v>2.01728244652616</c:v>
                </c:pt>
                <c:pt idx="17">
                  <c:v>2.14336259943404</c:v>
                </c:pt>
                <c:pt idx="18">
                  <c:v>2.26944275234193</c:v>
                </c:pt>
                <c:pt idx="19">
                  <c:v>2.39552290524981</c:v>
                </c:pt>
                <c:pt idx="20">
                  <c:v>2.5216030581577</c:v>
                </c:pt>
                <c:pt idx="21">
                  <c:v>2.64768321106558</c:v>
                </c:pt>
                <c:pt idx="22">
                  <c:v>2.77376336397347</c:v>
                </c:pt>
                <c:pt idx="23">
                  <c:v>2.89984351688135</c:v>
                </c:pt>
                <c:pt idx="24">
                  <c:v>3.02592366978923</c:v>
                </c:pt>
                <c:pt idx="25">
                  <c:v>3.15200382269712</c:v>
                </c:pt>
                <c:pt idx="26">
                  <c:v>3.278083975605</c:v>
                </c:pt>
                <c:pt idx="27">
                  <c:v>3.40416412851289</c:v>
                </c:pt>
                <c:pt idx="28">
                  <c:v>3.53024428142077</c:v>
                </c:pt>
                <c:pt idx="29">
                  <c:v>3.65632443432866</c:v>
                </c:pt>
                <c:pt idx="30">
                  <c:v>3.78240458723654</c:v>
                </c:pt>
                <c:pt idx="31">
                  <c:v>3.90848474014443</c:v>
                </c:pt>
                <c:pt idx="32">
                  <c:v>4.03456489305231</c:v>
                </c:pt>
                <c:pt idx="33">
                  <c:v>4.1606450459602</c:v>
                </c:pt>
                <c:pt idx="34">
                  <c:v>4.28672519886808</c:v>
                </c:pt>
                <c:pt idx="35">
                  <c:v>4.41280535177597</c:v>
                </c:pt>
                <c:pt idx="36">
                  <c:v>4.53888550468385</c:v>
                </c:pt>
                <c:pt idx="37">
                  <c:v>4.66496565759174</c:v>
                </c:pt>
                <c:pt idx="38">
                  <c:v>4.79104581049962</c:v>
                </c:pt>
                <c:pt idx="39">
                  <c:v>4.91712596340751</c:v>
                </c:pt>
                <c:pt idx="40">
                  <c:v>5.04320611631539</c:v>
                </c:pt>
                <c:pt idx="41">
                  <c:v>5.16928626922328</c:v>
                </c:pt>
                <c:pt idx="42">
                  <c:v>5.29536642213116</c:v>
                </c:pt>
                <c:pt idx="43">
                  <c:v>5.42144657503905</c:v>
                </c:pt>
                <c:pt idx="44">
                  <c:v>5.54752672794693</c:v>
                </c:pt>
                <c:pt idx="45">
                  <c:v>5.67360688085481</c:v>
                </c:pt>
                <c:pt idx="46">
                  <c:v>5.7996870337627</c:v>
                </c:pt>
                <c:pt idx="47">
                  <c:v>5.92576718667059</c:v>
                </c:pt>
                <c:pt idx="48">
                  <c:v>6.05184733957847</c:v>
                </c:pt>
                <c:pt idx="49">
                  <c:v>6.17792749248635</c:v>
                </c:pt>
                <c:pt idx="50">
                  <c:v>6.30400764539424</c:v>
                </c:pt>
                <c:pt idx="51">
                  <c:v>6.43008779830212</c:v>
                </c:pt>
                <c:pt idx="52">
                  <c:v>6.55616795121001</c:v>
                </c:pt>
                <c:pt idx="53">
                  <c:v>6.6822481041179</c:v>
                </c:pt>
                <c:pt idx="54">
                  <c:v>6.80832825702578</c:v>
                </c:pt>
                <c:pt idx="55">
                  <c:v>6.93440840993366</c:v>
                </c:pt>
                <c:pt idx="56">
                  <c:v>7.06048856284155</c:v>
                </c:pt>
                <c:pt idx="57">
                  <c:v>7.18656871574943</c:v>
                </c:pt>
                <c:pt idx="58">
                  <c:v>7.31264886865732</c:v>
                </c:pt>
                <c:pt idx="59">
                  <c:v>7.4387290215652</c:v>
                </c:pt>
                <c:pt idx="60">
                  <c:v>7.56480917447309</c:v>
                </c:pt>
                <c:pt idx="61">
                  <c:v>7.69088932738097</c:v>
                </c:pt>
                <c:pt idx="62">
                  <c:v>7.81696948028886</c:v>
                </c:pt>
                <c:pt idx="63">
                  <c:v>7.94304963319674</c:v>
                </c:pt>
                <c:pt idx="64">
                  <c:v>8.06912978610463</c:v>
                </c:pt>
                <c:pt idx="65">
                  <c:v>8.19520993901251</c:v>
                </c:pt>
                <c:pt idx="66">
                  <c:v>8.32129009192039</c:v>
                </c:pt>
                <c:pt idx="67">
                  <c:v>8.44737024482828</c:v>
                </c:pt>
                <c:pt idx="68">
                  <c:v>8.57345039773617</c:v>
                </c:pt>
                <c:pt idx="69">
                  <c:v>8.69953055064405</c:v>
                </c:pt>
                <c:pt idx="70">
                  <c:v>8.82561070355194</c:v>
                </c:pt>
                <c:pt idx="71">
                  <c:v>8.95169085645982</c:v>
                </c:pt>
                <c:pt idx="72">
                  <c:v>9.0777710093677</c:v>
                </c:pt>
                <c:pt idx="73">
                  <c:v>9.20385116227559</c:v>
                </c:pt>
                <c:pt idx="74">
                  <c:v>9.32993131518347</c:v>
                </c:pt>
                <c:pt idx="75">
                  <c:v>9.45601146809136</c:v>
                </c:pt>
                <c:pt idx="76">
                  <c:v>9.58209162099925</c:v>
                </c:pt>
                <c:pt idx="77">
                  <c:v>9.70817177390713</c:v>
                </c:pt>
                <c:pt idx="78">
                  <c:v>9.83425192681501</c:v>
                </c:pt>
                <c:pt idx="79">
                  <c:v>9.9603320797229</c:v>
                </c:pt>
                <c:pt idx="80">
                  <c:v>10.0864122326308</c:v>
                </c:pt>
                <c:pt idx="81">
                  <c:v>10.2124923855387</c:v>
                </c:pt>
                <c:pt idx="82">
                  <c:v>10.3385725384466</c:v>
                </c:pt>
                <c:pt idx="83">
                  <c:v>10.4646526913544</c:v>
                </c:pt>
                <c:pt idx="84">
                  <c:v>10.5907328442623</c:v>
                </c:pt>
                <c:pt idx="85">
                  <c:v>10.7168129971702</c:v>
                </c:pt>
                <c:pt idx="86">
                  <c:v>10.8428931500781</c:v>
                </c:pt>
                <c:pt idx="87">
                  <c:v>10.968973302986</c:v>
                </c:pt>
                <c:pt idx="88">
                  <c:v>11.0950534558939</c:v>
                </c:pt>
                <c:pt idx="89">
                  <c:v>11.2211336088017</c:v>
                </c:pt>
                <c:pt idx="90">
                  <c:v>11.3472137617096</c:v>
                </c:pt>
                <c:pt idx="91">
                  <c:v>11.4732939146175</c:v>
                </c:pt>
                <c:pt idx="92">
                  <c:v>11.5993740675254</c:v>
                </c:pt>
                <c:pt idx="93">
                  <c:v>11.7254542204333</c:v>
                </c:pt>
                <c:pt idx="94">
                  <c:v>11.8515343733412</c:v>
                </c:pt>
                <c:pt idx="95">
                  <c:v>11.9776145262491</c:v>
                </c:pt>
                <c:pt idx="96">
                  <c:v>12.1036946791569</c:v>
                </c:pt>
                <c:pt idx="97">
                  <c:v>12.2297748320648</c:v>
                </c:pt>
                <c:pt idx="98">
                  <c:v>12.3558549849727</c:v>
                </c:pt>
                <c:pt idx="99">
                  <c:v>12.4819351378806</c:v>
                </c:pt>
              </c:numCache>
            </c:numRef>
          </c:xVal>
          <c:yVal>
            <c:numRef>
              <c:f>'Middle finger results'!$B$3:$B$102</c:f>
              <c:numCache>
                <c:formatCode>General</c:formatCode>
                <c:ptCount val="100"/>
                <c:pt idx="0">
                  <c:v>0</c:v>
                </c:pt>
                <c:pt idx="1">
                  <c:v>0.481590709465721</c:v>
                </c:pt>
                <c:pt idx="2">
                  <c:v>0.963181418931455</c:v>
                </c:pt>
                <c:pt idx="3">
                  <c:v>1.44477212839718</c:v>
                </c:pt>
                <c:pt idx="4">
                  <c:v>1.9263628378629</c:v>
                </c:pt>
                <c:pt idx="5">
                  <c:v>2.40795354732862</c:v>
                </c:pt>
                <c:pt idx="6">
                  <c:v>2.88954425679435</c:v>
                </c:pt>
                <c:pt idx="7">
                  <c:v>3.37113496626007</c:v>
                </c:pt>
                <c:pt idx="8">
                  <c:v>3.85272567572579</c:v>
                </c:pt>
                <c:pt idx="9">
                  <c:v>4.33431638519153</c:v>
                </c:pt>
                <c:pt idx="10">
                  <c:v>4.81590709465725</c:v>
                </c:pt>
                <c:pt idx="11">
                  <c:v>5.29749780412297</c:v>
                </c:pt>
                <c:pt idx="12">
                  <c:v>5.77908851358869</c:v>
                </c:pt>
                <c:pt idx="13">
                  <c:v>6.26067922305442</c:v>
                </c:pt>
                <c:pt idx="14">
                  <c:v>6.74226993252015</c:v>
                </c:pt>
                <c:pt idx="15">
                  <c:v>7.22386064198587</c:v>
                </c:pt>
                <c:pt idx="16">
                  <c:v>7.7054513514516</c:v>
                </c:pt>
                <c:pt idx="17">
                  <c:v>8.18704206091732</c:v>
                </c:pt>
                <c:pt idx="18">
                  <c:v>8.66863277038304</c:v>
                </c:pt>
                <c:pt idx="19">
                  <c:v>9.15022347984878</c:v>
                </c:pt>
                <c:pt idx="20">
                  <c:v>9.6318141893145</c:v>
                </c:pt>
                <c:pt idx="21">
                  <c:v>10.1134048987802</c:v>
                </c:pt>
                <c:pt idx="22">
                  <c:v>10.594995608246</c:v>
                </c:pt>
                <c:pt idx="23">
                  <c:v>11.0765863177117</c:v>
                </c:pt>
                <c:pt idx="24">
                  <c:v>11.5581770271774</c:v>
                </c:pt>
                <c:pt idx="25">
                  <c:v>12.0397677366431</c:v>
                </c:pt>
                <c:pt idx="26">
                  <c:v>12.5213584461088</c:v>
                </c:pt>
                <c:pt idx="27">
                  <c:v>13.0029491555746</c:v>
                </c:pt>
                <c:pt idx="28">
                  <c:v>13.4845398650403</c:v>
                </c:pt>
                <c:pt idx="29">
                  <c:v>13.966130574506</c:v>
                </c:pt>
                <c:pt idx="30">
                  <c:v>14.4477212839717</c:v>
                </c:pt>
                <c:pt idx="31">
                  <c:v>14.9293119934375</c:v>
                </c:pt>
                <c:pt idx="32">
                  <c:v>15.4109027029032</c:v>
                </c:pt>
                <c:pt idx="33">
                  <c:v>15.8924934123689</c:v>
                </c:pt>
                <c:pt idx="34">
                  <c:v>16.3740841218346</c:v>
                </c:pt>
                <c:pt idx="35">
                  <c:v>16.8556748313004</c:v>
                </c:pt>
                <c:pt idx="36">
                  <c:v>17.3372655407661</c:v>
                </c:pt>
                <c:pt idx="37">
                  <c:v>17.8188562502318</c:v>
                </c:pt>
                <c:pt idx="38">
                  <c:v>18.3004469596975</c:v>
                </c:pt>
                <c:pt idx="39">
                  <c:v>18.7820376691633</c:v>
                </c:pt>
                <c:pt idx="40">
                  <c:v>19.263628378629</c:v>
                </c:pt>
                <c:pt idx="41">
                  <c:v>19.7452190880947</c:v>
                </c:pt>
                <c:pt idx="42">
                  <c:v>20.2268097975604</c:v>
                </c:pt>
                <c:pt idx="43">
                  <c:v>20.7084005070262</c:v>
                </c:pt>
                <c:pt idx="44">
                  <c:v>21.1899912164919</c:v>
                </c:pt>
                <c:pt idx="45">
                  <c:v>21.6715819259576</c:v>
                </c:pt>
                <c:pt idx="46">
                  <c:v>22.1531726354233</c:v>
                </c:pt>
                <c:pt idx="47">
                  <c:v>22.6347633448891</c:v>
                </c:pt>
                <c:pt idx="48">
                  <c:v>23.1163540543548</c:v>
                </c:pt>
                <c:pt idx="49">
                  <c:v>23.5979447638205</c:v>
                </c:pt>
                <c:pt idx="50">
                  <c:v>24.0795354732862</c:v>
                </c:pt>
                <c:pt idx="51">
                  <c:v>24.561126182752</c:v>
                </c:pt>
                <c:pt idx="52">
                  <c:v>25.0427168922177</c:v>
                </c:pt>
                <c:pt idx="53">
                  <c:v>25.5243076016834</c:v>
                </c:pt>
                <c:pt idx="54">
                  <c:v>26.0058983111491</c:v>
                </c:pt>
                <c:pt idx="55">
                  <c:v>26.4874890206149</c:v>
                </c:pt>
                <c:pt idx="56">
                  <c:v>26.9690797300806</c:v>
                </c:pt>
                <c:pt idx="57">
                  <c:v>27.4506704395463</c:v>
                </c:pt>
                <c:pt idx="58">
                  <c:v>27.932261149012</c:v>
                </c:pt>
                <c:pt idx="59">
                  <c:v>28.4138518584778</c:v>
                </c:pt>
                <c:pt idx="60">
                  <c:v>28.8954425679435</c:v>
                </c:pt>
                <c:pt idx="61">
                  <c:v>29.3770332774092</c:v>
                </c:pt>
                <c:pt idx="62">
                  <c:v>29.8586239868749</c:v>
                </c:pt>
                <c:pt idx="63">
                  <c:v>30.3402146963407</c:v>
                </c:pt>
                <c:pt idx="64">
                  <c:v>30.8218054058064</c:v>
                </c:pt>
                <c:pt idx="65">
                  <c:v>31.3033961152721</c:v>
                </c:pt>
                <c:pt idx="66">
                  <c:v>31.7849868247378</c:v>
                </c:pt>
                <c:pt idx="67">
                  <c:v>32.2665775342036</c:v>
                </c:pt>
                <c:pt idx="68">
                  <c:v>32.7481682436693</c:v>
                </c:pt>
                <c:pt idx="69">
                  <c:v>33.229758953135</c:v>
                </c:pt>
                <c:pt idx="70">
                  <c:v>33.7113496626007</c:v>
                </c:pt>
                <c:pt idx="71">
                  <c:v>34.1929403720664</c:v>
                </c:pt>
                <c:pt idx="72">
                  <c:v>34.6745310815322</c:v>
                </c:pt>
                <c:pt idx="73">
                  <c:v>35.1561217909979</c:v>
                </c:pt>
                <c:pt idx="74">
                  <c:v>35.6377125004636</c:v>
                </c:pt>
                <c:pt idx="75">
                  <c:v>36.1193032099294</c:v>
                </c:pt>
                <c:pt idx="76">
                  <c:v>36.6008939193951</c:v>
                </c:pt>
                <c:pt idx="77">
                  <c:v>37.0824846288608</c:v>
                </c:pt>
                <c:pt idx="78">
                  <c:v>37.5640753383265</c:v>
                </c:pt>
                <c:pt idx="79">
                  <c:v>38.0456660477923</c:v>
                </c:pt>
                <c:pt idx="80">
                  <c:v>38.527256757258</c:v>
                </c:pt>
                <c:pt idx="81">
                  <c:v>39.0088474667237</c:v>
                </c:pt>
                <c:pt idx="82">
                  <c:v>39.4904381761894</c:v>
                </c:pt>
                <c:pt idx="83">
                  <c:v>39.9720288856552</c:v>
                </c:pt>
                <c:pt idx="84">
                  <c:v>40.4536195951209</c:v>
                </c:pt>
                <c:pt idx="85">
                  <c:v>40.9352103045866</c:v>
                </c:pt>
                <c:pt idx="86">
                  <c:v>41.4168010140523</c:v>
                </c:pt>
                <c:pt idx="87">
                  <c:v>41.8983917235181</c:v>
                </c:pt>
                <c:pt idx="88">
                  <c:v>42.3799824329838</c:v>
                </c:pt>
                <c:pt idx="89">
                  <c:v>42.8615731424495</c:v>
                </c:pt>
                <c:pt idx="90">
                  <c:v>43.3431638519152</c:v>
                </c:pt>
                <c:pt idx="91">
                  <c:v>43.8247545613809</c:v>
                </c:pt>
                <c:pt idx="92">
                  <c:v>44.3063452708467</c:v>
                </c:pt>
                <c:pt idx="93">
                  <c:v>44.7879359803124</c:v>
                </c:pt>
                <c:pt idx="94">
                  <c:v>45.2695266897781</c:v>
                </c:pt>
                <c:pt idx="95">
                  <c:v>45.7511173992439</c:v>
                </c:pt>
                <c:pt idx="96">
                  <c:v>46.2327081087096</c:v>
                </c:pt>
                <c:pt idx="97">
                  <c:v>46.7142988181753</c:v>
                </c:pt>
                <c:pt idx="98">
                  <c:v>47.195889527641</c:v>
                </c:pt>
                <c:pt idx="99">
                  <c:v>47.6774802371068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'Middle finger results'!$C$2</c:f>
              <c:strCache>
                <c:ptCount val="1"/>
                <c:pt idx="0">
                  <c:v>Theta1</c:v>
                </c:pt>
              </c:strCache>
            </c:strRef>
          </c:tx>
          <c:spPr>
            <a:ln w="19080" cap="rnd" cmpd="sng" algn="ctr">
              <a:solidFill>
                <a:srgbClr val="ED7D31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xVal>
            <c:numRef>
              <c:f>'Middle finger results'!$A$3:$A$102</c:f>
              <c:numCache>
                <c:formatCode>General</c:formatCode>
                <c:ptCount val="100"/>
                <c:pt idx="0">
                  <c:v>0</c:v>
                </c:pt>
                <c:pt idx="1">
                  <c:v>0.126080152907884</c:v>
                </c:pt>
                <c:pt idx="2">
                  <c:v>0.252160305815771</c:v>
                </c:pt>
                <c:pt idx="3">
                  <c:v>0.378240458723655</c:v>
                </c:pt>
                <c:pt idx="4">
                  <c:v>0.504320611631539</c:v>
                </c:pt>
                <c:pt idx="5">
                  <c:v>0.630400764539422</c:v>
                </c:pt>
                <c:pt idx="6">
                  <c:v>0.75648091744731</c:v>
                </c:pt>
                <c:pt idx="7">
                  <c:v>0.882561070355193</c:v>
                </c:pt>
                <c:pt idx="8">
                  <c:v>1.00864122326308</c:v>
                </c:pt>
                <c:pt idx="9">
                  <c:v>1.13472137617096</c:v>
                </c:pt>
                <c:pt idx="10">
                  <c:v>1.26080152907885</c:v>
                </c:pt>
                <c:pt idx="11">
                  <c:v>1.38688168198673</c:v>
                </c:pt>
                <c:pt idx="12">
                  <c:v>1.51296183489462</c:v>
                </c:pt>
                <c:pt idx="13">
                  <c:v>1.6390419878025</c:v>
                </c:pt>
                <c:pt idx="14">
                  <c:v>1.76512214071039</c:v>
                </c:pt>
                <c:pt idx="15">
                  <c:v>1.89120229361827</c:v>
                </c:pt>
                <c:pt idx="16">
                  <c:v>2.01728244652616</c:v>
                </c:pt>
                <c:pt idx="17">
                  <c:v>2.14336259943404</c:v>
                </c:pt>
                <c:pt idx="18">
                  <c:v>2.26944275234193</c:v>
                </c:pt>
                <c:pt idx="19">
                  <c:v>2.39552290524981</c:v>
                </c:pt>
                <c:pt idx="20">
                  <c:v>2.5216030581577</c:v>
                </c:pt>
                <c:pt idx="21">
                  <c:v>2.64768321106558</c:v>
                </c:pt>
                <c:pt idx="22">
                  <c:v>2.77376336397347</c:v>
                </c:pt>
                <c:pt idx="23">
                  <c:v>2.89984351688135</c:v>
                </c:pt>
                <c:pt idx="24">
                  <c:v>3.02592366978923</c:v>
                </c:pt>
                <c:pt idx="25">
                  <c:v>3.15200382269712</c:v>
                </c:pt>
                <c:pt idx="26">
                  <c:v>3.278083975605</c:v>
                </c:pt>
                <c:pt idx="27">
                  <c:v>3.40416412851289</c:v>
                </c:pt>
                <c:pt idx="28">
                  <c:v>3.53024428142077</c:v>
                </c:pt>
                <c:pt idx="29">
                  <c:v>3.65632443432866</c:v>
                </c:pt>
                <c:pt idx="30">
                  <c:v>3.78240458723654</c:v>
                </c:pt>
                <c:pt idx="31">
                  <c:v>3.90848474014443</c:v>
                </c:pt>
                <c:pt idx="32">
                  <c:v>4.03456489305231</c:v>
                </c:pt>
                <c:pt idx="33">
                  <c:v>4.1606450459602</c:v>
                </c:pt>
                <c:pt idx="34">
                  <c:v>4.28672519886808</c:v>
                </c:pt>
                <c:pt idx="35">
                  <c:v>4.41280535177597</c:v>
                </c:pt>
                <c:pt idx="36">
                  <c:v>4.53888550468385</c:v>
                </c:pt>
                <c:pt idx="37">
                  <c:v>4.66496565759174</c:v>
                </c:pt>
                <c:pt idx="38">
                  <c:v>4.79104581049962</c:v>
                </c:pt>
                <c:pt idx="39">
                  <c:v>4.91712596340751</c:v>
                </c:pt>
                <c:pt idx="40">
                  <c:v>5.04320611631539</c:v>
                </c:pt>
                <c:pt idx="41">
                  <c:v>5.16928626922328</c:v>
                </c:pt>
                <c:pt idx="42">
                  <c:v>5.29536642213116</c:v>
                </c:pt>
                <c:pt idx="43">
                  <c:v>5.42144657503905</c:v>
                </c:pt>
                <c:pt idx="44">
                  <c:v>5.54752672794693</c:v>
                </c:pt>
                <c:pt idx="45">
                  <c:v>5.67360688085481</c:v>
                </c:pt>
                <c:pt idx="46">
                  <c:v>5.7996870337627</c:v>
                </c:pt>
                <c:pt idx="47">
                  <c:v>5.92576718667059</c:v>
                </c:pt>
                <c:pt idx="48">
                  <c:v>6.05184733957847</c:v>
                </c:pt>
                <c:pt idx="49">
                  <c:v>6.17792749248635</c:v>
                </c:pt>
                <c:pt idx="50">
                  <c:v>6.30400764539424</c:v>
                </c:pt>
                <c:pt idx="51">
                  <c:v>6.43008779830212</c:v>
                </c:pt>
                <c:pt idx="52">
                  <c:v>6.55616795121001</c:v>
                </c:pt>
                <c:pt idx="53">
                  <c:v>6.6822481041179</c:v>
                </c:pt>
                <c:pt idx="54">
                  <c:v>6.80832825702578</c:v>
                </c:pt>
                <c:pt idx="55">
                  <c:v>6.93440840993366</c:v>
                </c:pt>
                <c:pt idx="56">
                  <c:v>7.06048856284155</c:v>
                </c:pt>
                <c:pt idx="57">
                  <c:v>7.18656871574943</c:v>
                </c:pt>
                <c:pt idx="58">
                  <c:v>7.31264886865732</c:v>
                </c:pt>
                <c:pt idx="59">
                  <c:v>7.4387290215652</c:v>
                </c:pt>
                <c:pt idx="60">
                  <c:v>7.56480917447309</c:v>
                </c:pt>
                <c:pt idx="61">
                  <c:v>7.69088932738097</c:v>
                </c:pt>
                <c:pt idx="62">
                  <c:v>7.81696948028886</c:v>
                </c:pt>
                <c:pt idx="63">
                  <c:v>7.94304963319674</c:v>
                </c:pt>
                <c:pt idx="64">
                  <c:v>8.06912978610463</c:v>
                </c:pt>
                <c:pt idx="65">
                  <c:v>8.19520993901251</c:v>
                </c:pt>
                <c:pt idx="66">
                  <c:v>8.32129009192039</c:v>
                </c:pt>
                <c:pt idx="67">
                  <c:v>8.44737024482828</c:v>
                </c:pt>
                <c:pt idx="68">
                  <c:v>8.57345039773617</c:v>
                </c:pt>
                <c:pt idx="69">
                  <c:v>8.69953055064405</c:v>
                </c:pt>
                <c:pt idx="70">
                  <c:v>8.82561070355194</c:v>
                </c:pt>
                <c:pt idx="71">
                  <c:v>8.95169085645982</c:v>
                </c:pt>
                <c:pt idx="72">
                  <c:v>9.0777710093677</c:v>
                </c:pt>
                <c:pt idx="73">
                  <c:v>9.20385116227559</c:v>
                </c:pt>
                <c:pt idx="74">
                  <c:v>9.32993131518347</c:v>
                </c:pt>
                <c:pt idx="75">
                  <c:v>9.45601146809136</c:v>
                </c:pt>
                <c:pt idx="76">
                  <c:v>9.58209162099925</c:v>
                </c:pt>
                <c:pt idx="77">
                  <c:v>9.70817177390713</c:v>
                </c:pt>
                <c:pt idx="78">
                  <c:v>9.83425192681501</c:v>
                </c:pt>
                <c:pt idx="79">
                  <c:v>9.9603320797229</c:v>
                </c:pt>
                <c:pt idx="80">
                  <c:v>10.0864122326308</c:v>
                </c:pt>
                <c:pt idx="81">
                  <c:v>10.2124923855387</c:v>
                </c:pt>
                <c:pt idx="82">
                  <c:v>10.3385725384466</c:v>
                </c:pt>
                <c:pt idx="83">
                  <c:v>10.4646526913544</c:v>
                </c:pt>
                <c:pt idx="84">
                  <c:v>10.5907328442623</c:v>
                </c:pt>
                <c:pt idx="85">
                  <c:v>10.7168129971702</c:v>
                </c:pt>
                <c:pt idx="86">
                  <c:v>10.8428931500781</c:v>
                </c:pt>
                <c:pt idx="87">
                  <c:v>10.968973302986</c:v>
                </c:pt>
                <c:pt idx="88">
                  <c:v>11.0950534558939</c:v>
                </c:pt>
                <c:pt idx="89">
                  <c:v>11.2211336088017</c:v>
                </c:pt>
                <c:pt idx="90">
                  <c:v>11.3472137617096</c:v>
                </c:pt>
                <c:pt idx="91">
                  <c:v>11.4732939146175</c:v>
                </c:pt>
                <c:pt idx="92">
                  <c:v>11.5993740675254</c:v>
                </c:pt>
                <c:pt idx="93">
                  <c:v>11.7254542204333</c:v>
                </c:pt>
                <c:pt idx="94">
                  <c:v>11.8515343733412</c:v>
                </c:pt>
                <c:pt idx="95">
                  <c:v>11.9776145262491</c:v>
                </c:pt>
                <c:pt idx="96">
                  <c:v>12.1036946791569</c:v>
                </c:pt>
                <c:pt idx="97">
                  <c:v>12.2297748320648</c:v>
                </c:pt>
                <c:pt idx="98">
                  <c:v>12.3558549849727</c:v>
                </c:pt>
                <c:pt idx="99">
                  <c:v>12.4819351378806</c:v>
                </c:pt>
              </c:numCache>
            </c:numRef>
          </c:xVal>
          <c:yVal>
            <c:numRef>
              <c:f>'Middle finger results'!$C$3:$C$102</c:f>
              <c:numCache>
                <c:formatCode>General</c:formatCode>
                <c:ptCount val="100"/>
                <c:pt idx="0">
                  <c:v>0</c:v>
                </c:pt>
                <c:pt idx="1">
                  <c:v>0.189897007051736</c:v>
                </c:pt>
                <c:pt idx="2">
                  <c:v>0.378768123038651</c:v>
                </c:pt>
                <c:pt idx="3">
                  <c:v>0.566698715543498</c:v>
                </c:pt>
                <c:pt idx="4">
                  <c:v>0.753768675926775</c:v>
                </c:pt>
                <c:pt idx="5">
                  <c:v>0.940052958929017</c:v>
                </c:pt>
                <c:pt idx="6">
                  <c:v>1.12562206872988</c:v>
                </c:pt>
                <c:pt idx="7">
                  <c:v>1.31054249730704</c:v>
                </c:pt>
                <c:pt idx="8">
                  <c:v>1.49487712020455</c:v>
                </c:pt>
                <c:pt idx="9">
                  <c:v>1.67863223113187</c:v>
                </c:pt>
                <c:pt idx="10">
                  <c:v>1.86190632822113</c:v>
                </c:pt>
                <c:pt idx="11">
                  <c:v>2.04478646089967</c:v>
                </c:pt>
                <c:pt idx="12">
                  <c:v>2.22732376560284</c:v>
                </c:pt>
                <c:pt idx="13">
                  <c:v>2.40956717045807</c:v>
                </c:pt>
                <c:pt idx="14">
                  <c:v>2.59156362303062</c:v>
                </c:pt>
                <c:pt idx="15">
                  <c:v>2.77335829666525</c:v>
                </c:pt>
                <c:pt idx="16">
                  <c:v>2.95498494250815</c:v>
                </c:pt>
                <c:pt idx="17">
                  <c:v>3.13650000632884</c:v>
                </c:pt>
                <c:pt idx="18">
                  <c:v>3.3179594749085</c:v>
                </c:pt>
                <c:pt idx="19">
                  <c:v>3.49940219687183</c:v>
                </c:pt>
                <c:pt idx="20">
                  <c:v>3.68086600410018</c:v>
                </c:pt>
                <c:pt idx="21">
                  <c:v>3.86238783030965</c:v>
                </c:pt>
                <c:pt idx="22">
                  <c:v>4.04400381826432</c:v>
                </c:pt>
                <c:pt idx="23">
                  <c:v>4.2257688783433</c:v>
                </c:pt>
                <c:pt idx="24">
                  <c:v>4.40772686825203</c:v>
                </c:pt>
                <c:pt idx="25">
                  <c:v>4.58989889684467</c:v>
                </c:pt>
                <c:pt idx="26">
                  <c:v>4.77231777488508</c:v>
                </c:pt>
                <c:pt idx="27">
                  <c:v>4.95501592863277</c:v>
                </c:pt>
                <c:pt idx="28">
                  <c:v>5.13802545916286</c:v>
                </c:pt>
                <c:pt idx="29">
                  <c:v>5.32137819548676</c:v>
                </c:pt>
                <c:pt idx="30">
                  <c:v>5.50513239043133</c:v>
                </c:pt>
                <c:pt idx="31">
                  <c:v>5.68934867807208</c:v>
                </c:pt>
                <c:pt idx="32">
                  <c:v>5.87401276539091</c:v>
                </c:pt>
                <c:pt idx="33">
                  <c:v>6.05915480015204</c:v>
                </c:pt>
                <c:pt idx="34">
                  <c:v>6.24480486892728</c:v>
                </c:pt>
                <c:pt idx="35">
                  <c:v>6.4309930237266</c:v>
                </c:pt>
                <c:pt idx="36">
                  <c:v>6.6177493052932</c:v>
                </c:pt>
                <c:pt idx="37">
                  <c:v>6.80510376337647</c:v>
                </c:pt>
                <c:pt idx="38">
                  <c:v>6.99311422292354</c:v>
                </c:pt>
                <c:pt idx="39">
                  <c:v>7.18185458782592</c:v>
                </c:pt>
                <c:pt idx="40">
                  <c:v>7.37128794731603</c:v>
                </c:pt>
                <c:pt idx="41">
                  <c:v>7.56144364414032</c:v>
                </c:pt>
                <c:pt idx="42">
                  <c:v>7.75235112116491</c:v>
                </c:pt>
                <c:pt idx="43">
                  <c:v>7.94403992895419</c:v>
                </c:pt>
                <c:pt idx="44">
                  <c:v>8.13653973193692</c:v>
                </c:pt>
                <c:pt idx="45">
                  <c:v>8.32988031335018</c:v>
                </c:pt>
                <c:pt idx="46">
                  <c:v>8.5240915791417</c:v>
                </c:pt>
                <c:pt idx="47">
                  <c:v>8.71920356100414</c:v>
                </c:pt>
                <c:pt idx="48">
                  <c:v>8.91524641870883</c:v>
                </c:pt>
                <c:pt idx="49">
                  <c:v>9.11229886064565</c:v>
                </c:pt>
                <c:pt idx="50">
                  <c:v>9.31037331498903</c:v>
                </c:pt>
                <c:pt idx="51">
                  <c:v>9.50946708593325</c:v>
                </c:pt>
                <c:pt idx="52">
                  <c:v>9.70961018955511</c:v>
                </c:pt>
                <c:pt idx="53">
                  <c:v>9.9108328002036</c:v>
                </c:pt>
                <c:pt idx="54">
                  <c:v>10.1131652513383</c:v>
                </c:pt>
                <c:pt idx="55">
                  <c:v>10.3166380367347</c:v>
                </c:pt>
                <c:pt idx="56">
                  <c:v>10.5212818122261</c:v>
                </c:pt>
                <c:pt idx="57">
                  <c:v>10.7271273981587</c:v>
                </c:pt>
                <c:pt idx="58">
                  <c:v>10.9342057827479</c:v>
                </c:pt>
                <c:pt idx="59">
                  <c:v>11.1425481265368</c:v>
                </c:pt>
                <c:pt idx="60">
                  <c:v>11.3521857681749</c:v>
                </c:pt>
                <c:pt idx="61">
                  <c:v>11.5631502317553</c:v>
                </c:pt>
                <c:pt idx="62">
                  <c:v>11.7754732359719</c:v>
                </c:pt>
                <c:pt idx="63">
                  <c:v>11.9891867053918</c:v>
                </c:pt>
                <c:pt idx="64">
                  <c:v>12.2043227841684</c:v>
                </c:pt>
                <c:pt idx="65">
                  <c:v>12.4209138525702</c:v>
                </c:pt>
                <c:pt idx="66">
                  <c:v>12.6389925467487</c:v>
                </c:pt>
                <c:pt idx="67">
                  <c:v>12.8585917822323</c:v>
                </c:pt>
                <c:pt idx="68">
                  <c:v>13.0797447817094</c:v>
                </c:pt>
                <c:pt idx="69">
                  <c:v>13.3024851077575</c:v>
                </c:pt>
                <c:pt idx="70">
                  <c:v>13.5268467012831</c:v>
                </c:pt>
                <c:pt idx="71">
                  <c:v>13.752863926577</c:v>
                </c:pt>
                <c:pt idx="72">
                  <c:v>13.980571624053</c:v>
                </c:pt>
                <c:pt idx="73">
                  <c:v>14.2100051719437</c:v>
                </c:pt>
                <c:pt idx="74">
                  <c:v>14.4413224246306</c:v>
                </c:pt>
                <c:pt idx="75">
                  <c:v>14.6744680786222</c:v>
                </c:pt>
                <c:pt idx="76">
                  <c:v>14.9094650378946</c:v>
                </c:pt>
                <c:pt idx="77">
                  <c:v>15.1463522716249</c:v>
                </c:pt>
                <c:pt idx="78">
                  <c:v>15.3851698549903</c:v>
                </c:pt>
                <c:pt idx="79">
                  <c:v>15.6259591459774</c:v>
                </c:pt>
                <c:pt idx="80">
                  <c:v>15.8687629956383</c:v>
                </c:pt>
                <c:pt idx="81">
                  <c:v>16.1136259993002</c:v>
                </c:pt>
                <c:pt idx="82">
                  <c:v>16.3608032491964</c:v>
                </c:pt>
                <c:pt idx="83">
                  <c:v>16.6102140412179</c:v>
                </c:pt>
                <c:pt idx="84">
                  <c:v>16.8618541982129</c:v>
                </c:pt>
                <c:pt idx="85">
                  <c:v>17.1157807908112</c:v>
                </c:pt>
                <c:pt idx="86">
                  <c:v>17.3720553521125</c:v>
                </c:pt>
                <c:pt idx="87">
                  <c:v>17.6309461414255</c:v>
                </c:pt>
                <c:pt idx="88">
                  <c:v>17.8925334306059</c:v>
                </c:pt>
                <c:pt idx="89">
                  <c:v>18.1567272734834</c:v>
                </c:pt>
                <c:pt idx="90">
                  <c:v>18.4236253750233</c:v>
                </c:pt>
                <c:pt idx="91">
                  <c:v>18.6935809682073</c:v>
                </c:pt>
                <c:pt idx="92">
                  <c:v>18.9668155117499</c:v>
                </c:pt>
                <c:pt idx="93">
                  <c:v>19.2432298632878</c:v>
                </c:pt>
                <c:pt idx="94">
                  <c:v>19.5231223008174</c:v>
                </c:pt>
                <c:pt idx="95">
                  <c:v>19.8074149189331</c:v>
                </c:pt>
                <c:pt idx="96">
                  <c:v>20.0959289463271</c:v>
                </c:pt>
                <c:pt idx="97">
                  <c:v>20.3896769954854</c:v>
                </c:pt>
                <c:pt idx="98">
                  <c:v>20.6905236539445</c:v>
                </c:pt>
                <c:pt idx="99">
                  <c:v>21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'Middle finger results'!$D$2</c:f>
              <c:strCache>
                <c:ptCount val="1"/>
                <c:pt idx="0">
                  <c:v>Theta2</c:v>
                </c:pt>
              </c:strCache>
            </c:strRef>
          </c:tx>
          <c:spPr>
            <a:ln w="19080" cap="rnd" cmpd="sng" algn="ctr">
              <a:solidFill>
                <a:srgbClr val="A5A5A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xVal>
            <c:numRef>
              <c:f>'Middle finger results'!$A$3:$A$102</c:f>
              <c:numCache>
                <c:formatCode>General</c:formatCode>
                <c:ptCount val="100"/>
                <c:pt idx="0">
                  <c:v>0</c:v>
                </c:pt>
                <c:pt idx="1">
                  <c:v>0.126080152907884</c:v>
                </c:pt>
                <c:pt idx="2">
                  <c:v>0.252160305815771</c:v>
                </c:pt>
                <c:pt idx="3">
                  <c:v>0.378240458723655</c:v>
                </c:pt>
                <c:pt idx="4">
                  <c:v>0.504320611631539</c:v>
                </c:pt>
                <c:pt idx="5">
                  <c:v>0.630400764539422</c:v>
                </c:pt>
                <c:pt idx="6">
                  <c:v>0.75648091744731</c:v>
                </c:pt>
                <c:pt idx="7">
                  <c:v>0.882561070355193</c:v>
                </c:pt>
                <c:pt idx="8">
                  <c:v>1.00864122326308</c:v>
                </c:pt>
                <c:pt idx="9">
                  <c:v>1.13472137617096</c:v>
                </c:pt>
                <c:pt idx="10">
                  <c:v>1.26080152907885</c:v>
                </c:pt>
                <c:pt idx="11">
                  <c:v>1.38688168198673</c:v>
                </c:pt>
                <c:pt idx="12">
                  <c:v>1.51296183489462</c:v>
                </c:pt>
                <c:pt idx="13">
                  <c:v>1.6390419878025</c:v>
                </c:pt>
                <c:pt idx="14">
                  <c:v>1.76512214071039</c:v>
                </c:pt>
                <c:pt idx="15">
                  <c:v>1.89120229361827</c:v>
                </c:pt>
                <c:pt idx="16">
                  <c:v>2.01728244652616</c:v>
                </c:pt>
                <c:pt idx="17">
                  <c:v>2.14336259943404</c:v>
                </c:pt>
                <c:pt idx="18">
                  <c:v>2.26944275234193</c:v>
                </c:pt>
                <c:pt idx="19">
                  <c:v>2.39552290524981</c:v>
                </c:pt>
                <c:pt idx="20">
                  <c:v>2.5216030581577</c:v>
                </c:pt>
                <c:pt idx="21">
                  <c:v>2.64768321106558</c:v>
                </c:pt>
                <c:pt idx="22">
                  <c:v>2.77376336397347</c:v>
                </c:pt>
                <c:pt idx="23">
                  <c:v>2.89984351688135</c:v>
                </c:pt>
                <c:pt idx="24">
                  <c:v>3.02592366978923</c:v>
                </c:pt>
                <c:pt idx="25">
                  <c:v>3.15200382269712</c:v>
                </c:pt>
                <c:pt idx="26">
                  <c:v>3.278083975605</c:v>
                </c:pt>
                <c:pt idx="27">
                  <c:v>3.40416412851289</c:v>
                </c:pt>
                <c:pt idx="28">
                  <c:v>3.53024428142077</c:v>
                </c:pt>
                <c:pt idx="29">
                  <c:v>3.65632443432866</c:v>
                </c:pt>
                <c:pt idx="30">
                  <c:v>3.78240458723654</c:v>
                </c:pt>
                <c:pt idx="31">
                  <c:v>3.90848474014443</c:v>
                </c:pt>
                <c:pt idx="32">
                  <c:v>4.03456489305231</c:v>
                </c:pt>
                <c:pt idx="33">
                  <c:v>4.1606450459602</c:v>
                </c:pt>
                <c:pt idx="34">
                  <c:v>4.28672519886808</c:v>
                </c:pt>
                <c:pt idx="35">
                  <c:v>4.41280535177597</c:v>
                </c:pt>
                <c:pt idx="36">
                  <c:v>4.53888550468385</c:v>
                </c:pt>
                <c:pt idx="37">
                  <c:v>4.66496565759174</c:v>
                </c:pt>
                <c:pt idx="38">
                  <c:v>4.79104581049962</c:v>
                </c:pt>
                <c:pt idx="39">
                  <c:v>4.91712596340751</c:v>
                </c:pt>
                <c:pt idx="40">
                  <c:v>5.04320611631539</c:v>
                </c:pt>
                <c:pt idx="41">
                  <c:v>5.16928626922328</c:v>
                </c:pt>
                <c:pt idx="42">
                  <c:v>5.29536642213116</c:v>
                </c:pt>
                <c:pt idx="43">
                  <c:v>5.42144657503905</c:v>
                </c:pt>
                <c:pt idx="44">
                  <c:v>5.54752672794693</c:v>
                </c:pt>
                <c:pt idx="45">
                  <c:v>5.67360688085481</c:v>
                </c:pt>
                <c:pt idx="46">
                  <c:v>5.7996870337627</c:v>
                </c:pt>
                <c:pt idx="47">
                  <c:v>5.92576718667059</c:v>
                </c:pt>
                <c:pt idx="48">
                  <c:v>6.05184733957847</c:v>
                </c:pt>
                <c:pt idx="49">
                  <c:v>6.17792749248635</c:v>
                </c:pt>
                <c:pt idx="50">
                  <c:v>6.30400764539424</c:v>
                </c:pt>
                <c:pt idx="51">
                  <c:v>6.43008779830212</c:v>
                </c:pt>
                <c:pt idx="52">
                  <c:v>6.55616795121001</c:v>
                </c:pt>
                <c:pt idx="53">
                  <c:v>6.6822481041179</c:v>
                </c:pt>
                <c:pt idx="54">
                  <c:v>6.80832825702578</c:v>
                </c:pt>
                <c:pt idx="55">
                  <c:v>6.93440840993366</c:v>
                </c:pt>
                <c:pt idx="56">
                  <c:v>7.06048856284155</c:v>
                </c:pt>
                <c:pt idx="57">
                  <c:v>7.18656871574943</c:v>
                </c:pt>
                <c:pt idx="58">
                  <c:v>7.31264886865732</c:v>
                </c:pt>
                <c:pt idx="59">
                  <c:v>7.4387290215652</c:v>
                </c:pt>
                <c:pt idx="60">
                  <c:v>7.56480917447309</c:v>
                </c:pt>
                <c:pt idx="61">
                  <c:v>7.69088932738097</c:v>
                </c:pt>
                <c:pt idx="62">
                  <c:v>7.81696948028886</c:v>
                </c:pt>
                <c:pt idx="63">
                  <c:v>7.94304963319674</c:v>
                </c:pt>
                <c:pt idx="64">
                  <c:v>8.06912978610463</c:v>
                </c:pt>
                <c:pt idx="65">
                  <c:v>8.19520993901251</c:v>
                </c:pt>
                <c:pt idx="66">
                  <c:v>8.32129009192039</c:v>
                </c:pt>
                <c:pt idx="67">
                  <c:v>8.44737024482828</c:v>
                </c:pt>
                <c:pt idx="68">
                  <c:v>8.57345039773617</c:v>
                </c:pt>
                <c:pt idx="69">
                  <c:v>8.69953055064405</c:v>
                </c:pt>
                <c:pt idx="70">
                  <c:v>8.82561070355194</c:v>
                </c:pt>
                <c:pt idx="71">
                  <c:v>8.95169085645982</c:v>
                </c:pt>
                <c:pt idx="72">
                  <c:v>9.0777710093677</c:v>
                </c:pt>
                <c:pt idx="73">
                  <c:v>9.20385116227559</c:v>
                </c:pt>
                <c:pt idx="74">
                  <c:v>9.32993131518347</c:v>
                </c:pt>
                <c:pt idx="75">
                  <c:v>9.45601146809136</c:v>
                </c:pt>
                <c:pt idx="76">
                  <c:v>9.58209162099925</c:v>
                </c:pt>
                <c:pt idx="77">
                  <c:v>9.70817177390713</c:v>
                </c:pt>
                <c:pt idx="78">
                  <c:v>9.83425192681501</c:v>
                </c:pt>
                <c:pt idx="79">
                  <c:v>9.9603320797229</c:v>
                </c:pt>
                <c:pt idx="80">
                  <c:v>10.0864122326308</c:v>
                </c:pt>
                <c:pt idx="81">
                  <c:v>10.2124923855387</c:v>
                </c:pt>
                <c:pt idx="82">
                  <c:v>10.3385725384466</c:v>
                </c:pt>
                <c:pt idx="83">
                  <c:v>10.4646526913544</c:v>
                </c:pt>
                <c:pt idx="84">
                  <c:v>10.5907328442623</c:v>
                </c:pt>
                <c:pt idx="85">
                  <c:v>10.7168129971702</c:v>
                </c:pt>
                <c:pt idx="86">
                  <c:v>10.8428931500781</c:v>
                </c:pt>
                <c:pt idx="87">
                  <c:v>10.968973302986</c:v>
                </c:pt>
                <c:pt idx="88">
                  <c:v>11.0950534558939</c:v>
                </c:pt>
                <c:pt idx="89">
                  <c:v>11.2211336088017</c:v>
                </c:pt>
                <c:pt idx="90">
                  <c:v>11.3472137617096</c:v>
                </c:pt>
                <c:pt idx="91">
                  <c:v>11.4732939146175</c:v>
                </c:pt>
                <c:pt idx="92">
                  <c:v>11.5993740675254</c:v>
                </c:pt>
                <c:pt idx="93">
                  <c:v>11.7254542204333</c:v>
                </c:pt>
                <c:pt idx="94">
                  <c:v>11.8515343733412</c:v>
                </c:pt>
                <c:pt idx="95">
                  <c:v>11.9776145262491</c:v>
                </c:pt>
                <c:pt idx="96">
                  <c:v>12.1036946791569</c:v>
                </c:pt>
                <c:pt idx="97">
                  <c:v>12.2297748320648</c:v>
                </c:pt>
                <c:pt idx="98">
                  <c:v>12.3558549849727</c:v>
                </c:pt>
                <c:pt idx="99">
                  <c:v>12.4819351378806</c:v>
                </c:pt>
              </c:numCache>
            </c:numRef>
          </c:xVal>
          <c:yVal>
            <c:numRef>
              <c:f>'Middle finger results'!$D$3:$D$102</c:f>
              <c:numCache>
                <c:formatCode>General</c:formatCode>
                <c:ptCount val="100"/>
                <c:pt idx="0">
                  <c:v>0</c:v>
                </c:pt>
                <c:pt idx="1">
                  <c:v>0.142422755288802</c:v>
                </c:pt>
                <c:pt idx="2">
                  <c:v>0.284076092278988</c:v>
                </c:pt>
                <c:pt idx="3">
                  <c:v>0.425024036657623</c:v>
                </c:pt>
                <c:pt idx="4">
                  <c:v>0.565326506945081</c:v>
                </c:pt>
                <c:pt idx="5">
                  <c:v>0.705039719196763</c:v>
                </c:pt>
                <c:pt idx="6">
                  <c:v>0.844216551547407</c:v>
                </c:pt>
                <c:pt idx="7">
                  <c:v>0.982906872980278</c:v>
                </c:pt>
                <c:pt idx="8">
                  <c:v>1.12115784015341</c:v>
                </c:pt>
                <c:pt idx="9">
                  <c:v>1.2589741733489</c:v>
                </c:pt>
                <c:pt idx="10">
                  <c:v>1.39642974616585</c:v>
                </c:pt>
                <c:pt idx="11">
                  <c:v>1.53358984567475</c:v>
                </c:pt>
                <c:pt idx="12">
                  <c:v>1.67049282420213</c:v>
                </c:pt>
                <c:pt idx="13">
                  <c:v>1.80717537784356</c:v>
                </c:pt>
                <c:pt idx="14">
                  <c:v>1.94367271727296</c:v>
                </c:pt>
                <c:pt idx="15">
                  <c:v>2.08001872249893</c:v>
                </c:pt>
                <c:pt idx="16">
                  <c:v>2.21623870688111</c:v>
                </c:pt>
                <c:pt idx="17">
                  <c:v>2.35237500474663</c:v>
                </c:pt>
                <c:pt idx="18">
                  <c:v>2.48846960618137</c:v>
                </c:pt>
                <c:pt idx="19">
                  <c:v>2.62455164765388</c:v>
                </c:pt>
                <c:pt idx="20">
                  <c:v>2.76064950307513</c:v>
                </c:pt>
                <c:pt idx="21">
                  <c:v>2.89679087273223</c:v>
                </c:pt>
                <c:pt idx="22">
                  <c:v>3.03300286369824</c:v>
                </c:pt>
                <c:pt idx="23">
                  <c:v>3.16932665875748</c:v>
                </c:pt>
                <c:pt idx="24">
                  <c:v>3.30579515118902</c:v>
                </c:pt>
                <c:pt idx="25">
                  <c:v>3.4424241726335</c:v>
                </c:pt>
                <c:pt idx="26">
                  <c:v>3.57923833116381</c:v>
                </c:pt>
                <c:pt idx="27">
                  <c:v>3.71626194647458</c:v>
                </c:pt>
                <c:pt idx="28">
                  <c:v>3.85351909437214</c:v>
                </c:pt>
                <c:pt idx="29">
                  <c:v>3.99103364661507</c:v>
                </c:pt>
                <c:pt idx="30">
                  <c:v>4.1288492928235</c:v>
                </c:pt>
                <c:pt idx="31">
                  <c:v>4.26701150855406</c:v>
                </c:pt>
                <c:pt idx="32">
                  <c:v>4.40550957404319</c:v>
                </c:pt>
                <c:pt idx="33">
                  <c:v>4.54436610011403</c:v>
                </c:pt>
                <c:pt idx="34">
                  <c:v>4.68360365169546</c:v>
                </c:pt>
                <c:pt idx="35">
                  <c:v>4.82324476779495</c:v>
                </c:pt>
                <c:pt idx="36">
                  <c:v>4.9633119789699</c:v>
                </c:pt>
                <c:pt idx="37">
                  <c:v>5.10382782253235</c:v>
                </c:pt>
                <c:pt idx="38">
                  <c:v>5.24483566719265</c:v>
                </c:pt>
                <c:pt idx="39">
                  <c:v>5.38639094086944</c:v>
                </c:pt>
                <c:pt idx="40">
                  <c:v>5.52846596048703</c:v>
                </c:pt>
                <c:pt idx="41">
                  <c:v>5.67108273310524</c:v>
                </c:pt>
                <c:pt idx="42">
                  <c:v>5.81426334087368</c:v>
                </c:pt>
                <c:pt idx="43">
                  <c:v>5.95802994671564</c:v>
                </c:pt>
                <c:pt idx="44">
                  <c:v>6.10240479895269</c:v>
                </c:pt>
                <c:pt idx="45">
                  <c:v>6.24741023501263</c:v>
                </c:pt>
                <c:pt idx="46">
                  <c:v>6.39306868435628</c:v>
                </c:pt>
                <c:pt idx="47">
                  <c:v>6.5394026707531</c:v>
                </c:pt>
                <c:pt idx="48">
                  <c:v>6.68643481403162</c:v>
                </c:pt>
                <c:pt idx="49">
                  <c:v>6.83422414548424</c:v>
                </c:pt>
                <c:pt idx="50">
                  <c:v>6.98277998624177</c:v>
                </c:pt>
                <c:pt idx="51">
                  <c:v>7.13210031444994</c:v>
                </c:pt>
                <c:pt idx="52">
                  <c:v>7.28220764216634</c:v>
                </c:pt>
                <c:pt idx="53">
                  <c:v>7.4331246001527</c:v>
                </c:pt>
                <c:pt idx="54">
                  <c:v>7.58487393850371</c:v>
                </c:pt>
                <c:pt idx="55">
                  <c:v>7.73747852755102</c:v>
                </c:pt>
                <c:pt idx="56">
                  <c:v>7.89096135916958</c:v>
                </c:pt>
                <c:pt idx="57">
                  <c:v>8.04534554861905</c:v>
                </c:pt>
                <c:pt idx="58">
                  <c:v>8.20065433706095</c:v>
                </c:pt>
                <c:pt idx="59">
                  <c:v>8.35691109490257</c:v>
                </c:pt>
                <c:pt idx="60">
                  <c:v>8.51413932613116</c:v>
                </c:pt>
                <c:pt idx="61">
                  <c:v>8.67236267381644</c:v>
                </c:pt>
                <c:pt idx="62">
                  <c:v>8.83160492697896</c:v>
                </c:pt>
                <c:pt idx="63">
                  <c:v>8.99189002904387</c:v>
                </c:pt>
                <c:pt idx="64">
                  <c:v>9.15324208812626</c:v>
                </c:pt>
                <c:pt idx="65">
                  <c:v>9.31568538942761</c:v>
                </c:pt>
                <c:pt idx="66">
                  <c:v>9.47924441006156</c:v>
                </c:pt>
                <c:pt idx="67">
                  <c:v>9.64394383667422</c:v>
                </c:pt>
                <c:pt idx="68">
                  <c:v>9.80980858628204</c:v>
                </c:pt>
                <c:pt idx="69">
                  <c:v>9.9768638308181</c:v>
                </c:pt>
                <c:pt idx="70">
                  <c:v>10.1451350259623</c:v>
                </c:pt>
                <c:pt idx="71">
                  <c:v>10.3146479449328</c:v>
                </c:pt>
                <c:pt idx="72">
                  <c:v>10.4854287180397</c:v>
                </c:pt>
                <c:pt idx="73">
                  <c:v>10.6575038789578</c:v>
                </c:pt>
                <c:pt idx="74">
                  <c:v>10.8309918184729</c:v>
                </c:pt>
                <c:pt idx="75">
                  <c:v>11.0058510589667</c:v>
                </c:pt>
                <c:pt idx="76">
                  <c:v>11.1820987784209</c:v>
                </c:pt>
                <c:pt idx="77">
                  <c:v>11.3597642037187</c:v>
                </c:pt>
                <c:pt idx="78">
                  <c:v>11.5388773912427</c:v>
                </c:pt>
                <c:pt idx="79">
                  <c:v>11.7194693594831</c:v>
                </c:pt>
                <c:pt idx="80">
                  <c:v>11.9015722467287</c:v>
                </c:pt>
                <c:pt idx="81">
                  <c:v>12.0852194994752</c:v>
                </c:pt>
                <c:pt idx="82">
                  <c:v>12.2706024368973</c:v>
                </c:pt>
                <c:pt idx="83">
                  <c:v>12.4576605309134</c:v>
                </c:pt>
                <c:pt idx="84">
                  <c:v>12.6463906486597</c:v>
                </c:pt>
                <c:pt idx="85">
                  <c:v>12.8368355931084</c:v>
                </c:pt>
                <c:pt idx="86">
                  <c:v>13.0290415140844</c:v>
                </c:pt>
                <c:pt idx="87">
                  <c:v>13.2232096060691</c:v>
                </c:pt>
                <c:pt idx="88">
                  <c:v>13.4194000729544</c:v>
                </c:pt>
                <c:pt idx="89">
                  <c:v>13.6175454551125</c:v>
                </c:pt>
                <c:pt idx="90">
                  <c:v>13.8177190312675</c:v>
                </c:pt>
                <c:pt idx="91">
                  <c:v>14.0201857261554</c:v>
                </c:pt>
                <c:pt idx="92">
                  <c:v>14.2251116338124</c:v>
                </c:pt>
                <c:pt idx="93">
                  <c:v>14.4324223974658</c:v>
                </c:pt>
                <c:pt idx="94">
                  <c:v>14.642341725613</c:v>
                </c:pt>
                <c:pt idx="95">
                  <c:v>14.8555611891998</c:v>
                </c:pt>
                <c:pt idx="96">
                  <c:v>15.0719467097453</c:v>
                </c:pt>
                <c:pt idx="97">
                  <c:v>15.292257746614</c:v>
                </c:pt>
                <c:pt idx="98">
                  <c:v>15.5178927404584</c:v>
                </c:pt>
                <c:pt idx="99">
                  <c:v>15.75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'Middle finger results'!$E$2</c:f>
              <c:strCache>
                <c:ptCount val="1"/>
                <c:pt idx="0">
                  <c:v>Theta3</c:v>
                </c:pt>
              </c:strCache>
            </c:strRef>
          </c:tx>
          <c:spPr>
            <a:ln w="19080" cap="rnd" cmpd="sng" algn="ctr">
              <a:solidFill>
                <a:srgbClr val="FFC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xVal>
            <c:numRef>
              <c:f>'Middle finger results'!$A$3:$A$102</c:f>
              <c:numCache>
                <c:formatCode>General</c:formatCode>
                <c:ptCount val="100"/>
                <c:pt idx="0">
                  <c:v>0</c:v>
                </c:pt>
                <c:pt idx="1">
                  <c:v>0.126080152907884</c:v>
                </c:pt>
                <c:pt idx="2">
                  <c:v>0.252160305815771</c:v>
                </c:pt>
                <c:pt idx="3">
                  <c:v>0.378240458723655</c:v>
                </c:pt>
                <c:pt idx="4">
                  <c:v>0.504320611631539</c:v>
                </c:pt>
                <c:pt idx="5">
                  <c:v>0.630400764539422</c:v>
                </c:pt>
                <c:pt idx="6">
                  <c:v>0.75648091744731</c:v>
                </c:pt>
                <c:pt idx="7">
                  <c:v>0.882561070355193</c:v>
                </c:pt>
                <c:pt idx="8">
                  <c:v>1.00864122326308</c:v>
                </c:pt>
                <c:pt idx="9">
                  <c:v>1.13472137617096</c:v>
                </c:pt>
                <c:pt idx="10">
                  <c:v>1.26080152907885</c:v>
                </c:pt>
                <c:pt idx="11">
                  <c:v>1.38688168198673</c:v>
                </c:pt>
                <c:pt idx="12">
                  <c:v>1.51296183489462</c:v>
                </c:pt>
                <c:pt idx="13">
                  <c:v>1.6390419878025</c:v>
                </c:pt>
                <c:pt idx="14">
                  <c:v>1.76512214071039</c:v>
                </c:pt>
                <c:pt idx="15">
                  <c:v>1.89120229361827</c:v>
                </c:pt>
                <c:pt idx="16">
                  <c:v>2.01728244652616</c:v>
                </c:pt>
                <c:pt idx="17">
                  <c:v>2.14336259943404</c:v>
                </c:pt>
                <c:pt idx="18">
                  <c:v>2.26944275234193</c:v>
                </c:pt>
                <c:pt idx="19">
                  <c:v>2.39552290524981</c:v>
                </c:pt>
                <c:pt idx="20">
                  <c:v>2.5216030581577</c:v>
                </c:pt>
                <c:pt idx="21">
                  <c:v>2.64768321106558</c:v>
                </c:pt>
                <c:pt idx="22">
                  <c:v>2.77376336397347</c:v>
                </c:pt>
                <c:pt idx="23">
                  <c:v>2.89984351688135</c:v>
                </c:pt>
                <c:pt idx="24">
                  <c:v>3.02592366978923</c:v>
                </c:pt>
                <c:pt idx="25">
                  <c:v>3.15200382269712</c:v>
                </c:pt>
                <c:pt idx="26">
                  <c:v>3.278083975605</c:v>
                </c:pt>
                <c:pt idx="27">
                  <c:v>3.40416412851289</c:v>
                </c:pt>
                <c:pt idx="28">
                  <c:v>3.53024428142077</c:v>
                </c:pt>
                <c:pt idx="29">
                  <c:v>3.65632443432866</c:v>
                </c:pt>
                <c:pt idx="30">
                  <c:v>3.78240458723654</c:v>
                </c:pt>
                <c:pt idx="31">
                  <c:v>3.90848474014443</c:v>
                </c:pt>
                <c:pt idx="32">
                  <c:v>4.03456489305231</c:v>
                </c:pt>
                <c:pt idx="33">
                  <c:v>4.1606450459602</c:v>
                </c:pt>
                <c:pt idx="34">
                  <c:v>4.28672519886808</c:v>
                </c:pt>
                <c:pt idx="35">
                  <c:v>4.41280535177597</c:v>
                </c:pt>
                <c:pt idx="36">
                  <c:v>4.53888550468385</c:v>
                </c:pt>
                <c:pt idx="37">
                  <c:v>4.66496565759174</c:v>
                </c:pt>
                <c:pt idx="38">
                  <c:v>4.79104581049962</c:v>
                </c:pt>
                <c:pt idx="39">
                  <c:v>4.91712596340751</c:v>
                </c:pt>
                <c:pt idx="40">
                  <c:v>5.04320611631539</c:v>
                </c:pt>
                <c:pt idx="41">
                  <c:v>5.16928626922328</c:v>
                </c:pt>
                <c:pt idx="42">
                  <c:v>5.29536642213116</c:v>
                </c:pt>
                <c:pt idx="43">
                  <c:v>5.42144657503905</c:v>
                </c:pt>
                <c:pt idx="44">
                  <c:v>5.54752672794693</c:v>
                </c:pt>
                <c:pt idx="45">
                  <c:v>5.67360688085481</c:v>
                </c:pt>
                <c:pt idx="46">
                  <c:v>5.7996870337627</c:v>
                </c:pt>
                <c:pt idx="47">
                  <c:v>5.92576718667059</c:v>
                </c:pt>
                <c:pt idx="48">
                  <c:v>6.05184733957847</c:v>
                </c:pt>
                <c:pt idx="49">
                  <c:v>6.17792749248635</c:v>
                </c:pt>
                <c:pt idx="50">
                  <c:v>6.30400764539424</c:v>
                </c:pt>
                <c:pt idx="51">
                  <c:v>6.43008779830212</c:v>
                </c:pt>
                <c:pt idx="52">
                  <c:v>6.55616795121001</c:v>
                </c:pt>
                <c:pt idx="53">
                  <c:v>6.6822481041179</c:v>
                </c:pt>
                <c:pt idx="54">
                  <c:v>6.80832825702578</c:v>
                </c:pt>
                <c:pt idx="55">
                  <c:v>6.93440840993366</c:v>
                </c:pt>
                <c:pt idx="56">
                  <c:v>7.06048856284155</c:v>
                </c:pt>
                <c:pt idx="57">
                  <c:v>7.18656871574943</c:v>
                </c:pt>
                <c:pt idx="58">
                  <c:v>7.31264886865732</c:v>
                </c:pt>
                <c:pt idx="59">
                  <c:v>7.4387290215652</c:v>
                </c:pt>
                <c:pt idx="60">
                  <c:v>7.56480917447309</c:v>
                </c:pt>
                <c:pt idx="61">
                  <c:v>7.69088932738097</c:v>
                </c:pt>
                <c:pt idx="62">
                  <c:v>7.81696948028886</c:v>
                </c:pt>
                <c:pt idx="63">
                  <c:v>7.94304963319674</c:v>
                </c:pt>
                <c:pt idx="64">
                  <c:v>8.06912978610463</c:v>
                </c:pt>
                <c:pt idx="65">
                  <c:v>8.19520993901251</c:v>
                </c:pt>
                <c:pt idx="66">
                  <c:v>8.32129009192039</c:v>
                </c:pt>
                <c:pt idx="67">
                  <c:v>8.44737024482828</c:v>
                </c:pt>
                <c:pt idx="68">
                  <c:v>8.57345039773617</c:v>
                </c:pt>
                <c:pt idx="69">
                  <c:v>8.69953055064405</c:v>
                </c:pt>
                <c:pt idx="70">
                  <c:v>8.82561070355194</c:v>
                </c:pt>
                <c:pt idx="71">
                  <c:v>8.95169085645982</c:v>
                </c:pt>
                <c:pt idx="72">
                  <c:v>9.0777710093677</c:v>
                </c:pt>
                <c:pt idx="73">
                  <c:v>9.20385116227559</c:v>
                </c:pt>
                <c:pt idx="74">
                  <c:v>9.32993131518347</c:v>
                </c:pt>
                <c:pt idx="75">
                  <c:v>9.45601146809136</c:v>
                </c:pt>
                <c:pt idx="76">
                  <c:v>9.58209162099925</c:v>
                </c:pt>
                <c:pt idx="77">
                  <c:v>9.70817177390713</c:v>
                </c:pt>
                <c:pt idx="78">
                  <c:v>9.83425192681501</c:v>
                </c:pt>
                <c:pt idx="79">
                  <c:v>9.9603320797229</c:v>
                </c:pt>
                <c:pt idx="80">
                  <c:v>10.0864122326308</c:v>
                </c:pt>
                <c:pt idx="81">
                  <c:v>10.2124923855387</c:v>
                </c:pt>
                <c:pt idx="82">
                  <c:v>10.3385725384466</c:v>
                </c:pt>
                <c:pt idx="83">
                  <c:v>10.4646526913544</c:v>
                </c:pt>
                <c:pt idx="84">
                  <c:v>10.5907328442623</c:v>
                </c:pt>
                <c:pt idx="85">
                  <c:v>10.7168129971702</c:v>
                </c:pt>
                <c:pt idx="86">
                  <c:v>10.8428931500781</c:v>
                </c:pt>
                <c:pt idx="87">
                  <c:v>10.968973302986</c:v>
                </c:pt>
                <c:pt idx="88">
                  <c:v>11.0950534558939</c:v>
                </c:pt>
                <c:pt idx="89">
                  <c:v>11.2211336088017</c:v>
                </c:pt>
                <c:pt idx="90">
                  <c:v>11.3472137617096</c:v>
                </c:pt>
                <c:pt idx="91">
                  <c:v>11.4732939146175</c:v>
                </c:pt>
                <c:pt idx="92">
                  <c:v>11.5993740675254</c:v>
                </c:pt>
                <c:pt idx="93">
                  <c:v>11.7254542204333</c:v>
                </c:pt>
                <c:pt idx="94">
                  <c:v>11.8515343733412</c:v>
                </c:pt>
                <c:pt idx="95">
                  <c:v>11.9776145262491</c:v>
                </c:pt>
                <c:pt idx="96">
                  <c:v>12.1036946791569</c:v>
                </c:pt>
                <c:pt idx="97">
                  <c:v>12.2297748320648</c:v>
                </c:pt>
                <c:pt idx="98">
                  <c:v>12.3558549849727</c:v>
                </c:pt>
                <c:pt idx="99">
                  <c:v>12.4819351378806</c:v>
                </c:pt>
              </c:numCache>
            </c:numRef>
          </c:xVal>
          <c:yVal>
            <c:numRef>
              <c:f>'Middle finger results'!$E$3:$E$102</c:f>
              <c:numCache>
                <c:formatCode>General</c:formatCode>
                <c:ptCount val="100"/>
                <c:pt idx="0">
                  <c:v>0</c:v>
                </c:pt>
                <c:pt idx="1">
                  <c:v>0.0949485035258679</c:v>
                </c:pt>
                <c:pt idx="2">
                  <c:v>0.189384061519325</c:v>
                </c:pt>
                <c:pt idx="3">
                  <c:v>0.283349357771749</c:v>
                </c:pt>
                <c:pt idx="4">
                  <c:v>0.376884337963387</c:v>
                </c:pt>
                <c:pt idx="5">
                  <c:v>0.470026479464509</c:v>
                </c:pt>
                <c:pt idx="6">
                  <c:v>0.562811034364938</c:v>
                </c:pt>
                <c:pt idx="7">
                  <c:v>0.655271248653519</c:v>
                </c:pt>
                <c:pt idx="8">
                  <c:v>0.747438560102276</c:v>
                </c:pt>
                <c:pt idx="9">
                  <c:v>0.839316115565933</c:v>
                </c:pt>
                <c:pt idx="10">
                  <c:v>0.930953164110566</c:v>
                </c:pt>
                <c:pt idx="11">
                  <c:v>1.02239323044984</c:v>
                </c:pt>
                <c:pt idx="12">
                  <c:v>1.11366188280142</c:v>
                </c:pt>
                <c:pt idx="13">
                  <c:v>1.20478358522904</c:v>
                </c:pt>
                <c:pt idx="14">
                  <c:v>1.29578181151531</c:v>
                </c:pt>
                <c:pt idx="15">
                  <c:v>1.38667914833262</c:v>
                </c:pt>
                <c:pt idx="16">
                  <c:v>1.47749247125408</c:v>
                </c:pt>
                <c:pt idx="17">
                  <c:v>1.56825000316442</c:v>
                </c:pt>
                <c:pt idx="18">
                  <c:v>1.65897973745425</c:v>
                </c:pt>
                <c:pt idx="19">
                  <c:v>1.74970109843592</c:v>
                </c:pt>
                <c:pt idx="20">
                  <c:v>1.84043300205009</c:v>
                </c:pt>
                <c:pt idx="21">
                  <c:v>1.93119391515482</c:v>
                </c:pt>
                <c:pt idx="22">
                  <c:v>2.02200190913216</c:v>
                </c:pt>
                <c:pt idx="23">
                  <c:v>2.11288443917165</c:v>
                </c:pt>
                <c:pt idx="24">
                  <c:v>2.20386343412602</c:v>
                </c:pt>
                <c:pt idx="25">
                  <c:v>2.29494944842233</c:v>
                </c:pt>
                <c:pt idx="26">
                  <c:v>2.38615888744254</c:v>
                </c:pt>
                <c:pt idx="27">
                  <c:v>2.47750796431638</c:v>
                </c:pt>
                <c:pt idx="28">
                  <c:v>2.56901272958143</c:v>
                </c:pt>
                <c:pt idx="29">
                  <c:v>2.66068909774338</c:v>
                </c:pt>
                <c:pt idx="30">
                  <c:v>2.75256619521566</c:v>
                </c:pt>
                <c:pt idx="31">
                  <c:v>2.84467433903604</c:v>
                </c:pt>
                <c:pt idx="32">
                  <c:v>2.93700638269546</c:v>
                </c:pt>
                <c:pt idx="33">
                  <c:v>3.02957740007602</c:v>
                </c:pt>
                <c:pt idx="34">
                  <c:v>3.12240243446364</c:v>
                </c:pt>
                <c:pt idx="35">
                  <c:v>3.2154965118633</c:v>
                </c:pt>
                <c:pt idx="36">
                  <c:v>3.3088746526466</c:v>
                </c:pt>
                <c:pt idx="37">
                  <c:v>3.40255188168823</c:v>
                </c:pt>
                <c:pt idx="38">
                  <c:v>3.49655711146177</c:v>
                </c:pt>
                <c:pt idx="39">
                  <c:v>3.59092729391296</c:v>
                </c:pt>
                <c:pt idx="40">
                  <c:v>3.68564397365802</c:v>
                </c:pt>
                <c:pt idx="41">
                  <c:v>3.78072182207016</c:v>
                </c:pt>
                <c:pt idx="42">
                  <c:v>3.87617556058246</c:v>
                </c:pt>
                <c:pt idx="43">
                  <c:v>3.97201996447709</c:v>
                </c:pt>
                <c:pt idx="44">
                  <c:v>4.06826986596846</c:v>
                </c:pt>
                <c:pt idx="45">
                  <c:v>4.16494015667509</c:v>
                </c:pt>
                <c:pt idx="46">
                  <c:v>4.26204578957085</c:v>
                </c:pt>
                <c:pt idx="47">
                  <c:v>4.35960178050207</c:v>
                </c:pt>
                <c:pt idx="48">
                  <c:v>4.45762320935441</c:v>
                </c:pt>
                <c:pt idx="49">
                  <c:v>4.55614943032283</c:v>
                </c:pt>
                <c:pt idx="50">
                  <c:v>4.65518665749452</c:v>
                </c:pt>
                <c:pt idx="51">
                  <c:v>4.75473354296662</c:v>
                </c:pt>
                <c:pt idx="52">
                  <c:v>4.85480509477756</c:v>
                </c:pt>
                <c:pt idx="53">
                  <c:v>4.9554164001018</c:v>
                </c:pt>
                <c:pt idx="54">
                  <c:v>5.05658262566914</c:v>
                </c:pt>
                <c:pt idx="55">
                  <c:v>5.15831901836735</c:v>
                </c:pt>
                <c:pt idx="56">
                  <c:v>5.26064090611306</c:v>
                </c:pt>
                <c:pt idx="57">
                  <c:v>5.36356369907936</c:v>
                </c:pt>
                <c:pt idx="58">
                  <c:v>5.46710289137396</c:v>
                </c:pt>
                <c:pt idx="59">
                  <c:v>5.57127406326838</c:v>
                </c:pt>
                <c:pt idx="60">
                  <c:v>5.67609288408744</c:v>
                </c:pt>
                <c:pt idx="61">
                  <c:v>5.78157511587763</c:v>
                </c:pt>
                <c:pt idx="62">
                  <c:v>5.88773661798597</c:v>
                </c:pt>
                <c:pt idx="63">
                  <c:v>5.99459335269591</c:v>
                </c:pt>
                <c:pt idx="64">
                  <c:v>6.10216139208418</c:v>
                </c:pt>
                <c:pt idx="65">
                  <c:v>6.21045692628508</c:v>
                </c:pt>
                <c:pt idx="66">
                  <c:v>6.31949627337437</c:v>
                </c:pt>
                <c:pt idx="67">
                  <c:v>6.42929589111615</c:v>
                </c:pt>
                <c:pt idx="68">
                  <c:v>6.53987239085469</c:v>
                </c:pt>
                <c:pt idx="69">
                  <c:v>6.65124255387874</c:v>
                </c:pt>
                <c:pt idx="70">
                  <c:v>6.76342335064154</c:v>
                </c:pt>
                <c:pt idx="71">
                  <c:v>6.87643196328851</c:v>
                </c:pt>
                <c:pt idx="72">
                  <c:v>6.99028581202648</c:v>
                </c:pt>
                <c:pt idx="73">
                  <c:v>7.10500258597186</c:v>
                </c:pt>
                <c:pt idx="74">
                  <c:v>7.22066121231529</c:v>
                </c:pt>
                <c:pt idx="75">
                  <c:v>7.33723403931112</c:v>
                </c:pt>
                <c:pt idx="76">
                  <c:v>7.4547325189473</c:v>
                </c:pt>
                <c:pt idx="77">
                  <c:v>7.57317613581243</c:v>
                </c:pt>
                <c:pt idx="78">
                  <c:v>7.69258492749514</c:v>
                </c:pt>
                <c:pt idx="79">
                  <c:v>7.8129795729887</c:v>
                </c:pt>
                <c:pt idx="80">
                  <c:v>7.93438149781917</c:v>
                </c:pt>
                <c:pt idx="81">
                  <c:v>8.05681299965012</c:v>
                </c:pt>
                <c:pt idx="82">
                  <c:v>8.18040162459819</c:v>
                </c:pt>
                <c:pt idx="83">
                  <c:v>8.30510702060894</c:v>
                </c:pt>
                <c:pt idx="84">
                  <c:v>8.43092709910646</c:v>
                </c:pt>
                <c:pt idx="85">
                  <c:v>8.5578903954056</c:v>
                </c:pt>
                <c:pt idx="86">
                  <c:v>8.68602767605625</c:v>
                </c:pt>
                <c:pt idx="87">
                  <c:v>8.81547307071276</c:v>
                </c:pt>
                <c:pt idx="88">
                  <c:v>8.94626671530296</c:v>
                </c:pt>
                <c:pt idx="89">
                  <c:v>9.07836363674168</c:v>
                </c:pt>
                <c:pt idx="90">
                  <c:v>9.21181268751164</c:v>
                </c:pt>
                <c:pt idx="91">
                  <c:v>9.34679048410363</c:v>
                </c:pt>
                <c:pt idx="92">
                  <c:v>9.48340775587493</c:v>
                </c:pt>
                <c:pt idx="93">
                  <c:v>9.62161493164388</c:v>
                </c:pt>
                <c:pt idx="94">
                  <c:v>9.76156115040868</c:v>
                </c:pt>
                <c:pt idx="95">
                  <c:v>9.90370745946654</c:v>
                </c:pt>
                <c:pt idx="96">
                  <c:v>10.0479644731635</c:v>
                </c:pt>
                <c:pt idx="97">
                  <c:v>10.1948384977427</c:v>
                </c:pt>
                <c:pt idx="98">
                  <c:v>10.3452618269722</c:v>
                </c:pt>
                <c:pt idx="99">
                  <c:v>10.5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'Middle finger results'!$F$2</c:f>
              <c:strCache>
                <c:ptCount val="1"/>
                <c:pt idx="0">
                  <c:v>45 deg deflection line</c:v>
                </c:pt>
              </c:strCache>
            </c:strRef>
          </c:tx>
          <c:spPr>
            <a:ln w="12600" cap="rnd" cmpd="sng" algn="ctr">
              <a:solidFill>
                <a:srgbClr val="4472C4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xVal>
            <c:numRef>
              <c:f>'Middle finger results'!$A$3:$A$102</c:f>
              <c:numCache>
                <c:formatCode>General</c:formatCode>
                <c:ptCount val="100"/>
                <c:pt idx="0">
                  <c:v>0</c:v>
                </c:pt>
                <c:pt idx="1">
                  <c:v>0.126080152907884</c:v>
                </c:pt>
                <c:pt idx="2">
                  <c:v>0.252160305815771</c:v>
                </c:pt>
                <c:pt idx="3">
                  <c:v>0.378240458723655</c:v>
                </c:pt>
                <c:pt idx="4">
                  <c:v>0.504320611631539</c:v>
                </c:pt>
                <c:pt idx="5">
                  <c:v>0.630400764539422</c:v>
                </c:pt>
                <c:pt idx="6">
                  <c:v>0.75648091744731</c:v>
                </c:pt>
                <c:pt idx="7">
                  <c:v>0.882561070355193</c:v>
                </c:pt>
                <c:pt idx="8">
                  <c:v>1.00864122326308</c:v>
                </c:pt>
                <c:pt idx="9">
                  <c:v>1.13472137617096</c:v>
                </c:pt>
                <c:pt idx="10">
                  <c:v>1.26080152907885</c:v>
                </c:pt>
                <c:pt idx="11">
                  <c:v>1.38688168198673</c:v>
                </c:pt>
                <c:pt idx="12">
                  <c:v>1.51296183489462</c:v>
                </c:pt>
                <c:pt idx="13">
                  <c:v>1.6390419878025</c:v>
                </c:pt>
                <c:pt idx="14">
                  <c:v>1.76512214071039</c:v>
                </c:pt>
                <c:pt idx="15">
                  <c:v>1.89120229361827</c:v>
                </c:pt>
                <c:pt idx="16">
                  <c:v>2.01728244652616</c:v>
                </c:pt>
                <c:pt idx="17">
                  <c:v>2.14336259943404</c:v>
                </c:pt>
                <c:pt idx="18">
                  <c:v>2.26944275234193</c:v>
                </c:pt>
                <c:pt idx="19">
                  <c:v>2.39552290524981</c:v>
                </c:pt>
                <c:pt idx="20">
                  <c:v>2.5216030581577</c:v>
                </c:pt>
                <c:pt idx="21">
                  <c:v>2.64768321106558</c:v>
                </c:pt>
                <c:pt idx="22">
                  <c:v>2.77376336397347</c:v>
                </c:pt>
                <c:pt idx="23">
                  <c:v>2.89984351688135</c:v>
                </c:pt>
                <c:pt idx="24">
                  <c:v>3.02592366978923</c:v>
                </c:pt>
                <c:pt idx="25">
                  <c:v>3.15200382269712</c:v>
                </c:pt>
                <c:pt idx="26">
                  <c:v>3.278083975605</c:v>
                </c:pt>
                <c:pt idx="27">
                  <c:v>3.40416412851289</c:v>
                </c:pt>
                <c:pt idx="28">
                  <c:v>3.53024428142077</c:v>
                </c:pt>
                <c:pt idx="29">
                  <c:v>3.65632443432866</c:v>
                </c:pt>
                <c:pt idx="30">
                  <c:v>3.78240458723654</c:v>
                </c:pt>
                <c:pt idx="31">
                  <c:v>3.90848474014443</c:v>
                </c:pt>
                <c:pt idx="32">
                  <c:v>4.03456489305231</c:v>
                </c:pt>
                <c:pt idx="33">
                  <c:v>4.1606450459602</c:v>
                </c:pt>
                <c:pt idx="34">
                  <c:v>4.28672519886808</c:v>
                </c:pt>
                <c:pt idx="35">
                  <c:v>4.41280535177597</c:v>
                </c:pt>
                <c:pt idx="36">
                  <c:v>4.53888550468385</c:v>
                </c:pt>
                <c:pt idx="37">
                  <c:v>4.66496565759174</c:v>
                </c:pt>
                <c:pt idx="38">
                  <c:v>4.79104581049962</c:v>
                </c:pt>
                <c:pt idx="39">
                  <c:v>4.91712596340751</c:v>
                </c:pt>
                <c:pt idx="40">
                  <c:v>5.04320611631539</c:v>
                </c:pt>
                <c:pt idx="41">
                  <c:v>5.16928626922328</c:v>
                </c:pt>
                <c:pt idx="42">
                  <c:v>5.29536642213116</c:v>
                </c:pt>
                <c:pt idx="43">
                  <c:v>5.42144657503905</c:v>
                </c:pt>
                <c:pt idx="44">
                  <c:v>5.54752672794693</c:v>
                </c:pt>
                <c:pt idx="45">
                  <c:v>5.67360688085481</c:v>
                </c:pt>
                <c:pt idx="46">
                  <c:v>5.7996870337627</c:v>
                </c:pt>
                <c:pt idx="47">
                  <c:v>5.92576718667059</c:v>
                </c:pt>
                <c:pt idx="48">
                  <c:v>6.05184733957847</c:v>
                </c:pt>
                <c:pt idx="49">
                  <c:v>6.17792749248635</c:v>
                </c:pt>
                <c:pt idx="50">
                  <c:v>6.30400764539424</c:v>
                </c:pt>
                <c:pt idx="51">
                  <c:v>6.43008779830212</c:v>
                </c:pt>
                <c:pt idx="52">
                  <c:v>6.55616795121001</c:v>
                </c:pt>
                <c:pt idx="53">
                  <c:v>6.6822481041179</c:v>
                </c:pt>
                <c:pt idx="54">
                  <c:v>6.80832825702578</c:v>
                </c:pt>
                <c:pt idx="55">
                  <c:v>6.93440840993366</c:v>
                </c:pt>
                <c:pt idx="56">
                  <c:v>7.06048856284155</c:v>
                </c:pt>
                <c:pt idx="57">
                  <c:v>7.18656871574943</c:v>
                </c:pt>
                <c:pt idx="58">
                  <c:v>7.31264886865732</c:v>
                </c:pt>
                <c:pt idx="59">
                  <c:v>7.4387290215652</c:v>
                </c:pt>
                <c:pt idx="60">
                  <c:v>7.56480917447309</c:v>
                </c:pt>
                <c:pt idx="61">
                  <c:v>7.69088932738097</c:v>
                </c:pt>
                <c:pt idx="62">
                  <c:v>7.81696948028886</c:v>
                </c:pt>
                <c:pt idx="63">
                  <c:v>7.94304963319674</c:v>
                </c:pt>
                <c:pt idx="64">
                  <c:v>8.06912978610463</c:v>
                </c:pt>
                <c:pt idx="65">
                  <c:v>8.19520993901251</c:v>
                </c:pt>
                <c:pt idx="66">
                  <c:v>8.32129009192039</c:v>
                </c:pt>
                <c:pt idx="67">
                  <c:v>8.44737024482828</c:v>
                </c:pt>
                <c:pt idx="68">
                  <c:v>8.57345039773617</c:v>
                </c:pt>
                <c:pt idx="69">
                  <c:v>8.69953055064405</c:v>
                </c:pt>
                <c:pt idx="70">
                  <c:v>8.82561070355194</c:v>
                </c:pt>
                <c:pt idx="71">
                  <c:v>8.95169085645982</c:v>
                </c:pt>
                <c:pt idx="72">
                  <c:v>9.0777710093677</c:v>
                </c:pt>
                <c:pt idx="73">
                  <c:v>9.20385116227559</c:v>
                </c:pt>
                <c:pt idx="74">
                  <c:v>9.32993131518347</c:v>
                </c:pt>
                <c:pt idx="75">
                  <c:v>9.45601146809136</c:v>
                </c:pt>
                <c:pt idx="76">
                  <c:v>9.58209162099925</c:v>
                </c:pt>
                <c:pt idx="77">
                  <c:v>9.70817177390713</c:v>
                </c:pt>
                <c:pt idx="78">
                  <c:v>9.83425192681501</c:v>
                </c:pt>
                <c:pt idx="79">
                  <c:v>9.9603320797229</c:v>
                </c:pt>
                <c:pt idx="80">
                  <c:v>10.0864122326308</c:v>
                </c:pt>
                <c:pt idx="81">
                  <c:v>10.2124923855387</c:v>
                </c:pt>
                <c:pt idx="82">
                  <c:v>10.3385725384466</c:v>
                </c:pt>
                <c:pt idx="83">
                  <c:v>10.4646526913544</c:v>
                </c:pt>
                <c:pt idx="84">
                  <c:v>10.5907328442623</c:v>
                </c:pt>
                <c:pt idx="85">
                  <c:v>10.7168129971702</c:v>
                </c:pt>
                <c:pt idx="86">
                  <c:v>10.8428931500781</c:v>
                </c:pt>
                <c:pt idx="87">
                  <c:v>10.968973302986</c:v>
                </c:pt>
                <c:pt idx="88">
                  <c:v>11.0950534558939</c:v>
                </c:pt>
                <c:pt idx="89">
                  <c:v>11.2211336088017</c:v>
                </c:pt>
                <c:pt idx="90">
                  <c:v>11.3472137617096</c:v>
                </c:pt>
                <c:pt idx="91">
                  <c:v>11.4732939146175</c:v>
                </c:pt>
                <c:pt idx="92">
                  <c:v>11.5993740675254</c:v>
                </c:pt>
                <c:pt idx="93">
                  <c:v>11.7254542204333</c:v>
                </c:pt>
                <c:pt idx="94">
                  <c:v>11.8515343733412</c:v>
                </c:pt>
                <c:pt idx="95">
                  <c:v>11.9776145262491</c:v>
                </c:pt>
                <c:pt idx="96">
                  <c:v>12.1036946791569</c:v>
                </c:pt>
                <c:pt idx="97">
                  <c:v>12.2297748320648</c:v>
                </c:pt>
                <c:pt idx="98">
                  <c:v>12.3558549849727</c:v>
                </c:pt>
                <c:pt idx="99">
                  <c:v>12.4819351378806</c:v>
                </c:pt>
              </c:numCache>
            </c:numRef>
          </c:xVal>
          <c:yVal>
            <c:numRef>
              <c:f>'Middle finger results'!$F$3:$F$102</c:f>
              <c:numCache>
                <c:formatCode>General</c:formatCode>
                <c:ptCount val="10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45</c:v>
                </c:pt>
                <c:pt idx="7">
                  <c:v>45</c:v>
                </c:pt>
                <c:pt idx="8">
                  <c:v>45</c:v>
                </c:pt>
                <c:pt idx="9">
                  <c:v>45</c:v>
                </c:pt>
                <c:pt idx="10">
                  <c:v>45</c:v>
                </c:pt>
                <c:pt idx="11">
                  <c:v>45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45</c:v>
                </c:pt>
                <c:pt idx="17">
                  <c:v>45</c:v>
                </c:pt>
                <c:pt idx="18">
                  <c:v>45</c:v>
                </c:pt>
                <c:pt idx="19">
                  <c:v>45</c:v>
                </c:pt>
                <c:pt idx="20">
                  <c:v>45</c:v>
                </c:pt>
                <c:pt idx="21">
                  <c:v>45</c:v>
                </c:pt>
                <c:pt idx="22">
                  <c:v>45</c:v>
                </c:pt>
                <c:pt idx="23">
                  <c:v>45</c:v>
                </c:pt>
                <c:pt idx="24">
                  <c:v>45</c:v>
                </c:pt>
                <c:pt idx="25">
                  <c:v>45</c:v>
                </c:pt>
                <c:pt idx="26">
                  <c:v>45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45</c:v>
                </c:pt>
                <c:pt idx="31">
                  <c:v>45</c:v>
                </c:pt>
                <c:pt idx="32">
                  <c:v>45</c:v>
                </c:pt>
                <c:pt idx="33">
                  <c:v>45</c:v>
                </c:pt>
                <c:pt idx="34">
                  <c:v>45</c:v>
                </c:pt>
                <c:pt idx="35">
                  <c:v>45</c:v>
                </c:pt>
                <c:pt idx="36">
                  <c:v>45</c:v>
                </c:pt>
                <c:pt idx="37">
                  <c:v>45</c:v>
                </c:pt>
                <c:pt idx="38">
                  <c:v>45</c:v>
                </c:pt>
                <c:pt idx="39">
                  <c:v>45</c:v>
                </c:pt>
                <c:pt idx="40">
                  <c:v>45</c:v>
                </c:pt>
                <c:pt idx="41">
                  <c:v>45</c:v>
                </c:pt>
                <c:pt idx="42">
                  <c:v>45</c:v>
                </c:pt>
                <c:pt idx="43">
                  <c:v>45</c:v>
                </c:pt>
                <c:pt idx="44">
                  <c:v>45</c:v>
                </c:pt>
                <c:pt idx="45">
                  <c:v>45</c:v>
                </c:pt>
                <c:pt idx="46">
                  <c:v>45</c:v>
                </c:pt>
                <c:pt idx="47">
                  <c:v>45</c:v>
                </c:pt>
                <c:pt idx="48">
                  <c:v>45</c:v>
                </c:pt>
                <c:pt idx="49">
                  <c:v>45</c:v>
                </c:pt>
                <c:pt idx="50">
                  <c:v>45</c:v>
                </c:pt>
                <c:pt idx="51">
                  <c:v>45</c:v>
                </c:pt>
                <c:pt idx="52">
                  <c:v>45</c:v>
                </c:pt>
                <c:pt idx="53">
                  <c:v>45</c:v>
                </c:pt>
                <c:pt idx="54">
                  <c:v>45</c:v>
                </c:pt>
                <c:pt idx="55">
                  <c:v>45</c:v>
                </c:pt>
                <c:pt idx="56">
                  <c:v>45</c:v>
                </c:pt>
                <c:pt idx="57">
                  <c:v>45</c:v>
                </c:pt>
                <c:pt idx="58">
                  <c:v>45</c:v>
                </c:pt>
                <c:pt idx="59">
                  <c:v>45</c:v>
                </c:pt>
                <c:pt idx="60">
                  <c:v>45</c:v>
                </c:pt>
                <c:pt idx="61">
                  <c:v>45</c:v>
                </c:pt>
                <c:pt idx="62">
                  <c:v>45</c:v>
                </c:pt>
                <c:pt idx="63">
                  <c:v>45</c:v>
                </c:pt>
                <c:pt idx="64">
                  <c:v>45</c:v>
                </c:pt>
                <c:pt idx="65">
                  <c:v>45</c:v>
                </c:pt>
                <c:pt idx="66">
                  <c:v>45</c:v>
                </c:pt>
                <c:pt idx="67">
                  <c:v>45</c:v>
                </c:pt>
                <c:pt idx="68">
                  <c:v>45</c:v>
                </c:pt>
                <c:pt idx="69">
                  <c:v>45</c:v>
                </c:pt>
                <c:pt idx="70">
                  <c:v>45</c:v>
                </c:pt>
                <c:pt idx="71">
                  <c:v>45</c:v>
                </c:pt>
                <c:pt idx="72">
                  <c:v>45</c:v>
                </c:pt>
                <c:pt idx="73">
                  <c:v>45</c:v>
                </c:pt>
                <c:pt idx="74">
                  <c:v>45</c:v>
                </c:pt>
                <c:pt idx="75">
                  <c:v>45</c:v>
                </c:pt>
                <c:pt idx="76">
                  <c:v>45</c:v>
                </c:pt>
                <c:pt idx="77">
                  <c:v>45</c:v>
                </c:pt>
                <c:pt idx="78">
                  <c:v>45</c:v>
                </c:pt>
                <c:pt idx="79">
                  <c:v>45</c:v>
                </c:pt>
                <c:pt idx="80">
                  <c:v>45</c:v>
                </c:pt>
                <c:pt idx="81">
                  <c:v>45</c:v>
                </c:pt>
                <c:pt idx="82">
                  <c:v>45</c:v>
                </c:pt>
                <c:pt idx="83">
                  <c:v>45</c:v>
                </c:pt>
                <c:pt idx="84">
                  <c:v>45</c:v>
                </c:pt>
                <c:pt idx="85">
                  <c:v>45</c:v>
                </c:pt>
                <c:pt idx="86">
                  <c:v>45</c:v>
                </c:pt>
                <c:pt idx="87">
                  <c:v>45</c:v>
                </c:pt>
                <c:pt idx="88">
                  <c:v>45</c:v>
                </c:pt>
                <c:pt idx="89">
                  <c:v>45</c:v>
                </c:pt>
                <c:pt idx="90">
                  <c:v>45</c:v>
                </c:pt>
                <c:pt idx="91">
                  <c:v>45</c:v>
                </c:pt>
                <c:pt idx="92">
                  <c:v>45</c:v>
                </c:pt>
                <c:pt idx="93">
                  <c:v>45</c:v>
                </c:pt>
                <c:pt idx="94">
                  <c:v>45</c:v>
                </c:pt>
                <c:pt idx="95">
                  <c:v>45</c:v>
                </c:pt>
                <c:pt idx="96">
                  <c:v>45</c:v>
                </c:pt>
                <c:pt idx="97">
                  <c:v>45</c:v>
                </c:pt>
                <c:pt idx="98">
                  <c:v>45</c:v>
                </c:pt>
                <c:pt idx="99">
                  <c:v>45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axId val="29021035"/>
        <c:axId val="67624549"/>
      </c:scatterChart>
      <c:valAx>
        <c:axId val="29021035"/>
        <c:scaling>
          <c:orientation val="minMax"/>
        </c:scaling>
        <c:delete val="0"/>
        <c:axPos val="b"/>
        <c:majorGridlines>
          <c:spPr>
            <a:ln w="9360" cap="flat" cmpd="sng" algn="ctr">
              <a:solidFill>
                <a:srgbClr val="D9D9D9"/>
              </a:solidFill>
              <a:prstDash val="solid"/>
              <a:round/>
            </a:ln>
          </c:spPr>
        </c:majorGridlines>
        <c:minorGridlines>
          <c:spPr>
            <a:ln w="9360" cap="flat" cmpd="sng" algn="ctr">
              <a:solidFill>
                <a:srgbClr val="F2F2F2"/>
              </a:solidFill>
              <a:prstDash val="solid"/>
              <a:round/>
            </a:ln>
          </c:spPr>
        </c:minorGridlines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IN" sz="1000" b="0" i="0" u="none" strike="noStrike" kern="1200" spc="-1" baseline="0">
                    <a:solidFill>
                      <a:srgbClr val="595959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lang="en-IN" sz="1000" b="0" strike="noStrike" spc="-1">
                    <a:solidFill>
                      <a:srgbClr val="595959"/>
                    </a:solidFill>
                    <a:latin typeface="Calibri" panose="020F0502020204030204"/>
                  </a:rPr>
                  <a:t>Actuator displacement (mm)</a:t>
                </a:r>
                <a:endParaRPr lang="en-IN" sz="1000" b="0" strike="noStrike" spc="-1">
                  <a:solidFill>
                    <a:srgbClr val="595959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BFBFB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spc="-1" baseline="0">
                <a:solidFill>
                  <a:srgbClr val="595959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67624549"/>
        <c:crosses val="autoZero"/>
        <c:crossBetween val="midCat"/>
      </c:valAx>
      <c:valAx>
        <c:axId val="67624549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D9D9D9"/>
              </a:solidFill>
              <a:prstDash val="solid"/>
              <a:round/>
            </a:ln>
          </c:spPr>
        </c:majorGridlines>
        <c:minorGridlines>
          <c:spPr>
            <a:ln w="9360" cap="flat" cmpd="sng" algn="ctr">
              <a:solidFill>
                <a:srgbClr val="F2F2F2"/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IN" sz="1000" b="0" i="0" u="none" strike="noStrike" kern="1200" spc="-1" baseline="0">
                    <a:solidFill>
                      <a:srgbClr val="595959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lang="en-IN" sz="1000" b="0" strike="noStrike" spc="-1">
                    <a:solidFill>
                      <a:srgbClr val="595959"/>
                    </a:solidFill>
                    <a:latin typeface="Calibri" panose="020F0502020204030204"/>
                  </a:rPr>
                  <a:t>Magnitude of angular displacement (deg)</a:t>
                </a:r>
                <a:endParaRPr lang="en-IN" sz="1000" b="0" strike="noStrike" spc="-1">
                  <a:solidFill>
                    <a:srgbClr val="595959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BFBFB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spc="-1" baseline="0">
                <a:solidFill>
                  <a:srgbClr val="595959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29021035"/>
        <c:crosses val="autoZero"/>
        <c:crossBetween val="midCat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spc="-1" baseline="0">
              <a:solidFill>
                <a:srgbClr val="595959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IN" sz="1400" b="0" i="0" u="none" strike="noStrike" kern="1200" spc="-1" baseline="0">
                <a:solidFill>
                  <a:srgbClr val="595959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lang="en-IN" sz="1400" b="0" strike="noStrike" spc="-1">
                <a:solidFill>
                  <a:srgbClr val="595959"/>
                </a:solidFill>
                <a:latin typeface="Calibri" panose="020F0502020204030204"/>
              </a:rPr>
              <a:t>Allowed angular deflections after length optimization</a:t>
            </a:r>
            <a:endParaRPr lang="en-IN" sz="1400" b="0" strike="noStrike" spc="-1">
              <a:solidFill>
                <a:srgbClr val="595959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scatterChart>
        <c:scatterStyle val="line"/>
        <c:varyColors val="0"/>
        <c:ser>
          <c:idx val="0"/>
          <c:order val="0"/>
          <c:tx>
            <c:strRef>
              <c:f>'Middle finger results'!$I$2</c:f>
              <c:strCache>
                <c:ptCount val="1"/>
                <c:pt idx="0">
                  <c:v>Theta0</c:v>
                </c:pt>
              </c:strCache>
            </c:strRef>
          </c:tx>
          <c:spPr>
            <a:ln w="19080" cap="rnd" cmpd="sng" algn="ctr">
              <a:solidFill>
                <a:srgbClr val="5B9BD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xVal>
            <c:numRef>
              <c:f>'Middle finger results'!$H$3:$H$102</c:f>
              <c:numCache>
                <c:formatCode>General</c:formatCode>
                <c:ptCount val="100"/>
                <c:pt idx="0">
                  <c:v>0</c:v>
                </c:pt>
                <c:pt idx="1">
                  <c:v>0.300562077620227</c:v>
                </c:pt>
                <c:pt idx="2">
                  <c:v>0.601124155240454</c:v>
                </c:pt>
                <c:pt idx="3">
                  <c:v>0.901686232860681</c:v>
                </c:pt>
                <c:pt idx="4">
                  <c:v>1.20224831048091</c:v>
                </c:pt>
                <c:pt idx="5">
                  <c:v>1.50281038810114</c:v>
                </c:pt>
                <c:pt idx="6">
                  <c:v>1.80337246572137</c:v>
                </c:pt>
                <c:pt idx="7">
                  <c:v>2.1039345433416</c:v>
                </c:pt>
                <c:pt idx="8">
                  <c:v>2.40449662096182</c:v>
                </c:pt>
                <c:pt idx="9">
                  <c:v>2.70505869858205</c:v>
                </c:pt>
                <c:pt idx="10">
                  <c:v>3.00562077620228</c:v>
                </c:pt>
                <c:pt idx="11">
                  <c:v>3.30618285382251</c:v>
                </c:pt>
                <c:pt idx="12">
                  <c:v>3.60674493144273</c:v>
                </c:pt>
                <c:pt idx="13">
                  <c:v>3.90730700906296</c:v>
                </c:pt>
                <c:pt idx="14">
                  <c:v>4.20786908668319</c:v>
                </c:pt>
                <c:pt idx="15">
                  <c:v>4.50843116430342</c:v>
                </c:pt>
                <c:pt idx="16">
                  <c:v>4.80899324192365</c:v>
                </c:pt>
                <c:pt idx="17">
                  <c:v>5.10955531954387</c:v>
                </c:pt>
                <c:pt idx="18">
                  <c:v>5.4101173971641</c:v>
                </c:pt>
                <c:pt idx="19">
                  <c:v>5.71067947478433</c:v>
                </c:pt>
                <c:pt idx="20">
                  <c:v>6.01124155240456</c:v>
                </c:pt>
                <c:pt idx="21">
                  <c:v>6.31180363002478</c:v>
                </c:pt>
                <c:pt idx="22">
                  <c:v>6.61236570764501</c:v>
                </c:pt>
                <c:pt idx="23">
                  <c:v>6.91292778526524</c:v>
                </c:pt>
                <c:pt idx="24">
                  <c:v>7.21348986288547</c:v>
                </c:pt>
                <c:pt idx="25">
                  <c:v>7.5140519405057</c:v>
                </c:pt>
                <c:pt idx="26">
                  <c:v>7.81461401812592</c:v>
                </c:pt>
                <c:pt idx="27">
                  <c:v>8.11517609574615</c:v>
                </c:pt>
                <c:pt idx="28">
                  <c:v>8.41573817336638</c:v>
                </c:pt>
                <c:pt idx="29">
                  <c:v>8.71630025098661</c:v>
                </c:pt>
                <c:pt idx="30">
                  <c:v>9.01686232860684</c:v>
                </c:pt>
                <c:pt idx="31">
                  <c:v>9.31742440622706</c:v>
                </c:pt>
                <c:pt idx="32">
                  <c:v>9.61798648384729</c:v>
                </c:pt>
                <c:pt idx="33">
                  <c:v>9.91854856146752</c:v>
                </c:pt>
                <c:pt idx="34">
                  <c:v>10.2191106390877</c:v>
                </c:pt>
                <c:pt idx="35">
                  <c:v>10.519672716708</c:v>
                </c:pt>
                <c:pt idx="36">
                  <c:v>10.8202347943282</c:v>
                </c:pt>
                <c:pt idx="37">
                  <c:v>11.1207968719484</c:v>
                </c:pt>
                <c:pt idx="38">
                  <c:v>11.4213589495687</c:v>
                </c:pt>
                <c:pt idx="39">
                  <c:v>11.7219210271889</c:v>
                </c:pt>
                <c:pt idx="40">
                  <c:v>12.0224831048091</c:v>
                </c:pt>
                <c:pt idx="41">
                  <c:v>12.3230451824293</c:v>
                </c:pt>
                <c:pt idx="42">
                  <c:v>12.6236072600496</c:v>
                </c:pt>
                <c:pt idx="43">
                  <c:v>12.9241693376698</c:v>
                </c:pt>
                <c:pt idx="44">
                  <c:v>13.22473141529</c:v>
                </c:pt>
                <c:pt idx="45">
                  <c:v>13.5252934929102</c:v>
                </c:pt>
                <c:pt idx="46">
                  <c:v>13.8258555705305</c:v>
                </c:pt>
                <c:pt idx="47">
                  <c:v>14.1264176481507</c:v>
                </c:pt>
                <c:pt idx="48">
                  <c:v>14.4269797257709</c:v>
                </c:pt>
                <c:pt idx="49">
                  <c:v>14.7275418033912</c:v>
                </c:pt>
                <c:pt idx="50">
                  <c:v>15.0281038810114</c:v>
                </c:pt>
                <c:pt idx="51">
                  <c:v>15.3286659586316</c:v>
                </c:pt>
                <c:pt idx="52">
                  <c:v>15.6292280362518</c:v>
                </c:pt>
                <c:pt idx="53">
                  <c:v>15.9297901138721</c:v>
                </c:pt>
                <c:pt idx="54">
                  <c:v>16.2303521914923</c:v>
                </c:pt>
                <c:pt idx="55">
                  <c:v>16.5309142691125</c:v>
                </c:pt>
                <c:pt idx="56">
                  <c:v>16.8314763467328</c:v>
                </c:pt>
                <c:pt idx="57">
                  <c:v>17.132038424353</c:v>
                </c:pt>
                <c:pt idx="58">
                  <c:v>17.4326005019732</c:v>
                </c:pt>
                <c:pt idx="59">
                  <c:v>17.7331625795934</c:v>
                </c:pt>
                <c:pt idx="60">
                  <c:v>18.0337246572137</c:v>
                </c:pt>
                <c:pt idx="61">
                  <c:v>18.3342867348339</c:v>
                </c:pt>
                <c:pt idx="62">
                  <c:v>18.6348488124541</c:v>
                </c:pt>
                <c:pt idx="63">
                  <c:v>18.9354108900744</c:v>
                </c:pt>
                <c:pt idx="64">
                  <c:v>19.2359729676946</c:v>
                </c:pt>
                <c:pt idx="65">
                  <c:v>19.5365350453148</c:v>
                </c:pt>
                <c:pt idx="66">
                  <c:v>19.837097122935</c:v>
                </c:pt>
                <c:pt idx="67">
                  <c:v>20.1376592005553</c:v>
                </c:pt>
                <c:pt idx="68">
                  <c:v>20.4382212781755</c:v>
                </c:pt>
                <c:pt idx="69">
                  <c:v>20.7387833557957</c:v>
                </c:pt>
                <c:pt idx="70">
                  <c:v>21.039345433416</c:v>
                </c:pt>
                <c:pt idx="71">
                  <c:v>21.3399075110362</c:v>
                </c:pt>
                <c:pt idx="72">
                  <c:v>21.6404695886564</c:v>
                </c:pt>
                <c:pt idx="73">
                  <c:v>21.9410316662766</c:v>
                </c:pt>
                <c:pt idx="74">
                  <c:v>22.2415937438969</c:v>
                </c:pt>
                <c:pt idx="75">
                  <c:v>22.5421558215171</c:v>
                </c:pt>
                <c:pt idx="76">
                  <c:v>22.8427178991373</c:v>
                </c:pt>
                <c:pt idx="77">
                  <c:v>23.1432799767575</c:v>
                </c:pt>
                <c:pt idx="78">
                  <c:v>23.4438420543778</c:v>
                </c:pt>
                <c:pt idx="79">
                  <c:v>23.744404131998</c:v>
                </c:pt>
                <c:pt idx="80">
                  <c:v>24.0449662096182</c:v>
                </c:pt>
                <c:pt idx="81">
                  <c:v>24.3455282872385</c:v>
                </c:pt>
                <c:pt idx="82">
                  <c:v>24.6460903648587</c:v>
                </c:pt>
                <c:pt idx="83">
                  <c:v>24.9466524424789</c:v>
                </c:pt>
                <c:pt idx="84">
                  <c:v>25.2472145200991</c:v>
                </c:pt>
                <c:pt idx="85">
                  <c:v>25.5477765977194</c:v>
                </c:pt>
                <c:pt idx="86">
                  <c:v>25.8483386753396</c:v>
                </c:pt>
                <c:pt idx="87">
                  <c:v>26.1489007529598</c:v>
                </c:pt>
                <c:pt idx="88">
                  <c:v>26.44946283058</c:v>
                </c:pt>
                <c:pt idx="89">
                  <c:v>26.7500249082003</c:v>
                </c:pt>
                <c:pt idx="90">
                  <c:v>27.0505869858205</c:v>
                </c:pt>
                <c:pt idx="91">
                  <c:v>27.3511490634407</c:v>
                </c:pt>
                <c:pt idx="92">
                  <c:v>27.651711141061</c:v>
                </c:pt>
                <c:pt idx="93">
                  <c:v>27.9522732186812</c:v>
                </c:pt>
                <c:pt idx="94">
                  <c:v>28.2528352963014</c:v>
                </c:pt>
                <c:pt idx="95">
                  <c:v>28.5533973739216</c:v>
                </c:pt>
                <c:pt idx="96">
                  <c:v>28.8539594515419</c:v>
                </c:pt>
                <c:pt idx="97">
                  <c:v>29.1545215291621</c:v>
                </c:pt>
                <c:pt idx="98">
                  <c:v>29.4550836067823</c:v>
                </c:pt>
                <c:pt idx="99">
                  <c:v>29.7556456844026</c:v>
                </c:pt>
              </c:numCache>
            </c:numRef>
          </c:xVal>
          <c:yVal>
            <c:numRef>
              <c:f>'Middle finger results'!$I$3:$I$102</c:f>
              <c:numCache>
                <c:formatCode>General</c:formatCode>
                <c:ptCount val="100"/>
                <c:pt idx="0">
                  <c:v>0</c:v>
                </c:pt>
                <c:pt idx="1">
                  <c:v>1.1480625686215</c:v>
                </c:pt>
                <c:pt idx="2">
                  <c:v>2.296125137243</c:v>
                </c:pt>
                <c:pt idx="3">
                  <c:v>3.44418770586449</c:v>
                </c:pt>
                <c:pt idx="4">
                  <c:v>4.59225027448599</c:v>
                </c:pt>
                <c:pt idx="5">
                  <c:v>5.74031284310749</c:v>
                </c:pt>
                <c:pt idx="6">
                  <c:v>6.88837541172902</c:v>
                </c:pt>
                <c:pt idx="7">
                  <c:v>8.03643798035051</c:v>
                </c:pt>
                <c:pt idx="8">
                  <c:v>9.18450054897201</c:v>
                </c:pt>
                <c:pt idx="9">
                  <c:v>10.3325631175935</c:v>
                </c:pt>
                <c:pt idx="10">
                  <c:v>11.480625686215</c:v>
                </c:pt>
                <c:pt idx="11">
                  <c:v>12.6286882548365</c:v>
                </c:pt>
                <c:pt idx="12">
                  <c:v>13.776750823458</c:v>
                </c:pt>
                <c:pt idx="13">
                  <c:v>14.9248133920795</c:v>
                </c:pt>
                <c:pt idx="14">
                  <c:v>16.072875960701</c:v>
                </c:pt>
                <c:pt idx="15">
                  <c:v>17.2209385293225</c:v>
                </c:pt>
                <c:pt idx="16">
                  <c:v>18.369001097944</c:v>
                </c:pt>
                <c:pt idx="17">
                  <c:v>19.5170636665655</c:v>
                </c:pt>
                <c:pt idx="18">
                  <c:v>20.665126235187</c:v>
                </c:pt>
                <c:pt idx="19">
                  <c:v>21.8131888038085</c:v>
                </c:pt>
                <c:pt idx="20">
                  <c:v>22.96125137243</c:v>
                </c:pt>
                <c:pt idx="21">
                  <c:v>24.1093139410515</c:v>
                </c:pt>
                <c:pt idx="22">
                  <c:v>25.257376509673</c:v>
                </c:pt>
                <c:pt idx="23">
                  <c:v>26.4054390782945</c:v>
                </c:pt>
                <c:pt idx="24">
                  <c:v>27.553501646916</c:v>
                </c:pt>
                <c:pt idx="25">
                  <c:v>28.7015642155375</c:v>
                </c:pt>
                <c:pt idx="26">
                  <c:v>29.849626784159</c:v>
                </c:pt>
                <c:pt idx="27">
                  <c:v>30.9976893527805</c:v>
                </c:pt>
                <c:pt idx="28">
                  <c:v>32.145751921402</c:v>
                </c:pt>
                <c:pt idx="29">
                  <c:v>33.2938144900235</c:v>
                </c:pt>
                <c:pt idx="30">
                  <c:v>34.441877058645</c:v>
                </c:pt>
                <c:pt idx="31">
                  <c:v>35.5899396272665</c:v>
                </c:pt>
                <c:pt idx="32">
                  <c:v>36.738002195888</c:v>
                </c:pt>
                <c:pt idx="33">
                  <c:v>37.8860647645095</c:v>
                </c:pt>
                <c:pt idx="34">
                  <c:v>39.034127333131</c:v>
                </c:pt>
                <c:pt idx="35">
                  <c:v>40.1821899017525</c:v>
                </c:pt>
                <c:pt idx="36">
                  <c:v>41.330252470374</c:v>
                </c:pt>
                <c:pt idx="37">
                  <c:v>42.4783150389955</c:v>
                </c:pt>
                <c:pt idx="38">
                  <c:v>43.626377607617</c:v>
                </c:pt>
                <c:pt idx="39">
                  <c:v>44.7744401762385</c:v>
                </c:pt>
                <c:pt idx="40">
                  <c:v>45.92250274486</c:v>
                </c:pt>
                <c:pt idx="41">
                  <c:v>47.0705653134815</c:v>
                </c:pt>
                <c:pt idx="42">
                  <c:v>48.218627882103</c:v>
                </c:pt>
                <c:pt idx="43">
                  <c:v>49.3666904507245</c:v>
                </c:pt>
                <c:pt idx="44">
                  <c:v>50.514753019346</c:v>
                </c:pt>
                <c:pt idx="45">
                  <c:v>51.6628155879675</c:v>
                </c:pt>
                <c:pt idx="46">
                  <c:v>52.810878156589</c:v>
                </c:pt>
                <c:pt idx="47">
                  <c:v>53.9589407252105</c:v>
                </c:pt>
                <c:pt idx="48">
                  <c:v>55.107003293832</c:v>
                </c:pt>
                <c:pt idx="49">
                  <c:v>56.2550658624535</c:v>
                </c:pt>
                <c:pt idx="50">
                  <c:v>57.403128431075</c:v>
                </c:pt>
                <c:pt idx="51">
                  <c:v>58.5511909996965</c:v>
                </c:pt>
                <c:pt idx="52">
                  <c:v>59.699253568318</c:v>
                </c:pt>
                <c:pt idx="53">
                  <c:v>60.8473161369395</c:v>
                </c:pt>
                <c:pt idx="54">
                  <c:v>61.995378705561</c:v>
                </c:pt>
                <c:pt idx="55">
                  <c:v>63.1434412741825</c:v>
                </c:pt>
                <c:pt idx="56">
                  <c:v>64.291503842804</c:v>
                </c:pt>
                <c:pt idx="57">
                  <c:v>65.4395664114255</c:v>
                </c:pt>
                <c:pt idx="58">
                  <c:v>66.587628980047</c:v>
                </c:pt>
                <c:pt idx="59">
                  <c:v>67.7356915486685</c:v>
                </c:pt>
                <c:pt idx="60">
                  <c:v>68.88375411729</c:v>
                </c:pt>
                <c:pt idx="61">
                  <c:v>70.0318166859115</c:v>
                </c:pt>
                <c:pt idx="62">
                  <c:v>71.179879254533</c:v>
                </c:pt>
                <c:pt idx="63">
                  <c:v>72.3279418231545</c:v>
                </c:pt>
                <c:pt idx="64">
                  <c:v>73.476004391776</c:v>
                </c:pt>
                <c:pt idx="65">
                  <c:v>74.6240669603975</c:v>
                </c:pt>
                <c:pt idx="66">
                  <c:v>75.772129529019</c:v>
                </c:pt>
                <c:pt idx="67">
                  <c:v>76.9201920976405</c:v>
                </c:pt>
                <c:pt idx="68">
                  <c:v>78.068254666262</c:v>
                </c:pt>
                <c:pt idx="69">
                  <c:v>79.2163172348835</c:v>
                </c:pt>
                <c:pt idx="70">
                  <c:v>80.3643798035051</c:v>
                </c:pt>
                <c:pt idx="71">
                  <c:v>81.5124423721265</c:v>
                </c:pt>
                <c:pt idx="72">
                  <c:v>82.660504940748</c:v>
                </c:pt>
                <c:pt idx="73">
                  <c:v>83.8085675093696</c:v>
                </c:pt>
                <c:pt idx="74">
                  <c:v>84.9566300779911</c:v>
                </c:pt>
                <c:pt idx="75">
                  <c:v>86.1046926466125</c:v>
                </c:pt>
                <c:pt idx="76">
                  <c:v>87.252755215234</c:v>
                </c:pt>
                <c:pt idx="77">
                  <c:v>88.4008177838555</c:v>
                </c:pt>
                <c:pt idx="78">
                  <c:v>89.548880352477</c:v>
                </c:pt>
                <c:pt idx="79">
                  <c:v>90.6969429210985</c:v>
                </c:pt>
                <c:pt idx="80">
                  <c:v>91.84500548972</c:v>
                </c:pt>
                <c:pt idx="81">
                  <c:v>92.9930680583415</c:v>
                </c:pt>
                <c:pt idx="82">
                  <c:v>94.1411306269631</c:v>
                </c:pt>
                <c:pt idx="83">
                  <c:v>95.2891931955846</c:v>
                </c:pt>
                <c:pt idx="84">
                  <c:v>96.437255764206</c:v>
                </c:pt>
                <c:pt idx="85">
                  <c:v>97.5853183328275</c:v>
                </c:pt>
                <c:pt idx="86">
                  <c:v>98.733380901449</c:v>
                </c:pt>
                <c:pt idx="87">
                  <c:v>99.8814434700706</c:v>
                </c:pt>
                <c:pt idx="88">
                  <c:v>101.029506038692</c:v>
                </c:pt>
                <c:pt idx="89">
                  <c:v>102.177568607314</c:v>
                </c:pt>
                <c:pt idx="90">
                  <c:v>103.325631175935</c:v>
                </c:pt>
                <c:pt idx="91">
                  <c:v>104.473693744557</c:v>
                </c:pt>
                <c:pt idx="92">
                  <c:v>105.621756313178</c:v>
                </c:pt>
                <c:pt idx="93">
                  <c:v>106.7698188818</c:v>
                </c:pt>
                <c:pt idx="94">
                  <c:v>107.917881450421</c:v>
                </c:pt>
                <c:pt idx="95">
                  <c:v>109.065944019043</c:v>
                </c:pt>
                <c:pt idx="96">
                  <c:v>110.214006587664</c:v>
                </c:pt>
                <c:pt idx="97">
                  <c:v>111.362069156286</c:v>
                </c:pt>
                <c:pt idx="98">
                  <c:v>112.510131724907</c:v>
                </c:pt>
                <c:pt idx="99">
                  <c:v>113.658194293529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'Middle finger results'!$J$2</c:f>
              <c:strCache>
                <c:ptCount val="1"/>
                <c:pt idx="0">
                  <c:v>Theta1</c:v>
                </c:pt>
              </c:strCache>
            </c:strRef>
          </c:tx>
          <c:spPr>
            <a:ln w="19080" cap="rnd" cmpd="sng" algn="ctr">
              <a:solidFill>
                <a:srgbClr val="ED7D31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xVal>
            <c:numRef>
              <c:f>'Middle finger results'!$H$3:$H$102</c:f>
              <c:numCache>
                <c:formatCode>General</c:formatCode>
                <c:ptCount val="100"/>
                <c:pt idx="0">
                  <c:v>0</c:v>
                </c:pt>
                <c:pt idx="1">
                  <c:v>0.300562077620227</c:v>
                </c:pt>
                <c:pt idx="2">
                  <c:v>0.601124155240454</c:v>
                </c:pt>
                <c:pt idx="3">
                  <c:v>0.901686232860681</c:v>
                </c:pt>
                <c:pt idx="4">
                  <c:v>1.20224831048091</c:v>
                </c:pt>
                <c:pt idx="5">
                  <c:v>1.50281038810114</c:v>
                </c:pt>
                <c:pt idx="6">
                  <c:v>1.80337246572137</c:v>
                </c:pt>
                <c:pt idx="7">
                  <c:v>2.1039345433416</c:v>
                </c:pt>
                <c:pt idx="8">
                  <c:v>2.40449662096182</c:v>
                </c:pt>
                <c:pt idx="9">
                  <c:v>2.70505869858205</c:v>
                </c:pt>
                <c:pt idx="10">
                  <c:v>3.00562077620228</c:v>
                </c:pt>
                <c:pt idx="11">
                  <c:v>3.30618285382251</c:v>
                </c:pt>
                <c:pt idx="12">
                  <c:v>3.60674493144273</c:v>
                </c:pt>
                <c:pt idx="13">
                  <c:v>3.90730700906296</c:v>
                </c:pt>
                <c:pt idx="14">
                  <c:v>4.20786908668319</c:v>
                </c:pt>
                <c:pt idx="15">
                  <c:v>4.50843116430342</c:v>
                </c:pt>
                <c:pt idx="16">
                  <c:v>4.80899324192365</c:v>
                </c:pt>
                <c:pt idx="17">
                  <c:v>5.10955531954387</c:v>
                </c:pt>
                <c:pt idx="18">
                  <c:v>5.4101173971641</c:v>
                </c:pt>
                <c:pt idx="19">
                  <c:v>5.71067947478433</c:v>
                </c:pt>
                <c:pt idx="20">
                  <c:v>6.01124155240456</c:v>
                </c:pt>
                <c:pt idx="21">
                  <c:v>6.31180363002478</c:v>
                </c:pt>
                <c:pt idx="22">
                  <c:v>6.61236570764501</c:v>
                </c:pt>
                <c:pt idx="23">
                  <c:v>6.91292778526524</c:v>
                </c:pt>
                <c:pt idx="24">
                  <c:v>7.21348986288547</c:v>
                </c:pt>
                <c:pt idx="25">
                  <c:v>7.5140519405057</c:v>
                </c:pt>
                <c:pt idx="26">
                  <c:v>7.81461401812592</c:v>
                </c:pt>
                <c:pt idx="27">
                  <c:v>8.11517609574615</c:v>
                </c:pt>
                <c:pt idx="28">
                  <c:v>8.41573817336638</c:v>
                </c:pt>
                <c:pt idx="29">
                  <c:v>8.71630025098661</c:v>
                </c:pt>
                <c:pt idx="30">
                  <c:v>9.01686232860684</c:v>
                </c:pt>
                <c:pt idx="31">
                  <c:v>9.31742440622706</c:v>
                </c:pt>
                <c:pt idx="32">
                  <c:v>9.61798648384729</c:v>
                </c:pt>
                <c:pt idx="33">
                  <c:v>9.91854856146752</c:v>
                </c:pt>
                <c:pt idx="34">
                  <c:v>10.2191106390877</c:v>
                </c:pt>
                <c:pt idx="35">
                  <c:v>10.519672716708</c:v>
                </c:pt>
                <c:pt idx="36">
                  <c:v>10.8202347943282</c:v>
                </c:pt>
                <c:pt idx="37">
                  <c:v>11.1207968719484</c:v>
                </c:pt>
                <c:pt idx="38">
                  <c:v>11.4213589495687</c:v>
                </c:pt>
                <c:pt idx="39">
                  <c:v>11.7219210271889</c:v>
                </c:pt>
                <c:pt idx="40">
                  <c:v>12.0224831048091</c:v>
                </c:pt>
                <c:pt idx="41">
                  <c:v>12.3230451824293</c:v>
                </c:pt>
                <c:pt idx="42">
                  <c:v>12.6236072600496</c:v>
                </c:pt>
                <c:pt idx="43">
                  <c:v>12.9241693376698</c:v>
                </c:pt>
                <c:pt idx="44">
                  <c:v>13.22473141529</c:v>
                </c:pt>
                <c:pt idx="45">
                  <c:v>13.5252934929102</c:v>
                </c:pt>
                <c:pt idx="46">
                  <c:v>13.8258555705305</c:v>
                </c:pt>
                <c:pt idx="47">
                  <c:v>14.1264176481507</c:v>
                </c:pt>
                <c:pt idx="48">
                  <c:v>14.4269797257709</c:v>
                </c:pt>
                <c:pt idx="49">
                  <c:v>14.7275418033912</c:v>
                </c:pt>
                <c:pt idx="50">
                  <c:v>15.0281038810114</c:v>
                </c:pt>
                <c:pt idx="51">
                  <c:v>15.3286659586316</c:v>
                </c:pt>
                <c:pt idx="52">
                  <c:v>15.6292280362518</c:v>
                </c:pt>
                <c:pt idx="53">
                  <c:v>15.9297901138721</c:v>
                </c:pt>
                <c:pt idx="54">
                  <c:v>16.2303521914923</c:v>
                </c:pt>
                <c:pt idx="55">
                  <c:v>16.5309142691125</c:v>
                </c:pt>
                <c:pt idx="56">
                  <c:v>16.8314763467328</c:v>
                </c:pt>
                <c:pt idx="57">
                  <c:v>17.132038424353</c:v>
                </c:pt>
                <c:pt idx="58">
                  <c:v>17.4326005019732</c:v>
                </c:pt>
                <c:pt idx="59">
                  <c:v>17.7331625795934</c:v>
                </c:pt>
                <c:pt idx="60">
                  <c:v>18.0337246572137</c:v>
                </c:pt>
                <c:pt idx="61">
                  <c:v>18.3342867348339</c:v>
                </c:pt>
                <c:pt idx="62">
                  <c:v>18.6348488124541</c:v>
                </c:pt>
                <c:pt idx="63">
                  <c:v>18.9354108900744</c:v>
                </c:pt>
                <c:pt idx="64">
                  <c:v>19.2359729676946</c:v>
                </c:pt>
                <c:pt idx="65">
                  <c:v>19.5365350453148</c:v>
                </c:pt>
                <c:pt idx="66">
                  <c:v>19.837097122935</c:v>
                </c:pt>
                <c:pt idx="67">
                  <c:v>20.1376592005553</c:v>
                </c:pt>
                <c:pt idx="68">
                  <c:v>20.4382212781755</c:v>
                </c:pt>
                <c:pt idx="69">
                  <c:v>20.7387833557957</c:v>
                </c:pt>
                <c:pt idx="70">
                  <c:v>21.039345433416</c:v>
                </c:pt>
                <c:pt idx="71">
                  <c:v>21.3399075110362</c:v>
                </c:pt>
                <c:pt idx="72">
                  <c:v>21.6404695886564</c:v>
                </c:pt>
                <c:pt idx="73">
                  <c:v>21.9410316662766</c:v>
                </c:pt>
                <c:pt idx="74">
                  <c:v>22.2415937438969</c:v>
                </c:pt>
                <c:pt idx="75">
                  <c:v>22.5421558215171</c:v>
                </c:pt>
                <c:pt idx="76">
                  <c:v>22.8427178991373</c:v>
                </c:pt>
                <c:pt idx="77">
                  <c:v>23.1432799767575</c:v>
                </c:pt>
                <c:pt idx="78">
                  <c:v>23.4438420543778</c:v>
                </c:pt>
                <c:pt idx="79">
                  <c:v>23.744404131998</c:v>
                </c:pt>
                <c:pt idx="80">
                  <c:v>24.0449662096182</c:v>
                </c:pt>
                <c:pt idx="81">
                  <c:v>24.3455282872385</c:v>
                </c:pt>
                <c:pt idx="82">
                  <c:v>24.6460903648587</c:v>
                </c:pt>
                <c:pt idx="83">
                  <c:v>24.9466524424789</c:v>
                </c:pt>
                <c:pt idx="84">
                  <c:v>25.2472145200991</c:v>
                </c:pt>
                <c:pt idx="85">
                  <c:v>25.5477765977194</c:v>
                </c:pt>
                <c:pt idx="86">
                  <c:v>25.8483386753396</c:v>
                </c:pt>
                <c:pt idx="87">
                  <c:v>26.1489007529598</c:v>
                </c:pt>
                <c:pt idx="88">
                  <c:v>26.44946283058</c:v>
                </c:pt>
                <c:pt idx="89">
                  <c:v>26.7500249082003</c:v>
                </c:pt>
                <c:pt idx="90">
                  <c:v>27.0505869858205</c:v>
                </c:pt>
                <c:pt idx="91">
                  <c:v>27.3511490634407</c:v>
                </c:pt>
                <c:pt idx="92">
                  <c:v>27.651711141061</c:v>
                </c:pt>
                <c:pt idx="93">
                  <c:v>27.9522732186812</c:v>
                </c:pt>
                <c:pt idx="94">
                  <c:v>28.2528352963014</c:v>
                </c:pt>
                <c:pt idx="95">
                  <c:v>28.5533973739216</c:v>
                </c:pt>
                <c:pt idx="96">
                  <c:v>28.8539594515419</c:v>
                </c:pt>
                <c:pt idx="97">
                  <c:v>29.1545215291621</c:v>
                </c:pt>
                <c:pt idx="98">
                  <c:v>29.4550836067823</c:v>
                </c:pt>
                <c:pt idx="99">
                  <c:v>29.7556456844026</c:v>
                </c:pt>
              </c:numCache>
            </c:numRef>
          </c:xVal>
          <c:yVal>
            <c:numRef>
              <c:f>'Middle finger results'!$J$3:$J$102</c:f>
              <c:numCache>
                <c:formatCode>General</c:formatCode>
                <c:ptCount val="100"/>
                <c:pt idx="0">
                  <c:v>0</c:v>
                </c:pt>
                <c:pt idx="1">
                  <c:v>0.573340742608985</c:v>
                </c:pt>
                <c:pt idx="2">
                  <c:v>1.14403728401687</c:v>
                </c:pt>
                <c:pt idx="3">
                  <c:v>1.67475749427805</c:v>
                </c:pt>
                <c:pt idx="4">
                  <c:v>2.20547770453923</c:v>
                </c:pt>
                <c:pt idx="5">
                  <c:v>2.70692546137644</c:v>
                </c:pt>
                <c:pt idx="6">
                  <c:v>3.20741956783474</c:v>
                </c:pt>
                <c:pt idx="7">
                  <c:v>3.69224115619655</c:v>
                </c:pt>
                <c:pt idx="8">
                  <c:v>4.17179448685076</c:v>
                </c:pt>
                <c:pt idx="9">
                  <c:v>4.64541800656683</c:v>
                </c:pt>
                <c:pt idx="10">
                  <c:v>5.11122743085801</c:v>
                </c:pt>
                <c:pt idx="11">
                  <c:v>5.57666779805444</c:v>
                </c:pt>
                <c:pt idx="12">
                  <c:v>6.03447443498683</c:v>
                </c:pt>
                <c:pt idx="13">
                  <c:v>6.49228107191923</c:v>
                </c:pt>
                <c:pt idx="14">
                  <c:v>6.94803980063277</c:v>
                </c:pt>
                <c:pt idx="15">
                  <c:v>7.4025384757879</c:v>
                </c:pt>
                <c:pt idx="16">
                  <c:v>7.85714442735682</c:v>
                </c:pt>
                <c:pt idx="17">
                  <c:v>8.31225825988692</c:v>
                </c:pt>
                <c:pt idx="18">
                  <c:v>8.76737209241703</c:v>
                </c:pt>
                <c:pt idx="19">
                  <c:v>9.22538587447452</c:v>
                </c:pt>
                <c:pt idx="20">
                  <c:v>9.68445599858067</c:v>
                </c:pt>
                <c:pt idx="21">
                  <c:v>10.1456677103039</c:v>
                </c:pt>
                <c:pt idx="22">
                  <c:v>10.6115877295703</c:v>
                </c:pt>
                <c:pt idx="23">
                  <c:v>11.0775077488367</c:v>
                </c:pt>
                <c:pt idx="24">
                  <c:v>11.5521436683576</c:v>
                </c:pt>
                <c:pt idx="25">
                  <c:v>12.0274570624773</c:v>
                </c:pt>
                <c:pt idx="26">
                  <c:v>12.5096518663731</c:v>
                </c:pt>
                <c:pt idx="27">
                  <c:v>12.9966239552775</c:v>
                </c:pt>
                <c:pt idx="28">
                  <c:v>13.4878233867017</c:v>
                </c:pt>
                <c:pt idx="29">
                  <c:v>13.9884954668132</c:v>
                </c:pt>
                <c:pt idx="30">
                  <c:v>14.490557345317</c:v>
                </c:pt>
                <c:pt idx="31">
                  <c:v>15.0067881235829</c:v>
                </c:pt>
                <c:pt idx="32">
                  <c:v>15.5230189018488</c:v>
                </c:pt>
                <c:pt idx="33">
                  <c:v>16.0554284551104</c:v>
                </c:pt>
                <c:pt idx="34">
                  <c:v>16.5889263060642</c:v>
                </c:pt>
                <c:pt idx="35">
                  <c:v>17.1385279343299</c:v>
                </c:pt>
                <c:pt idx="36">
                  <c:v>17.6908764476864</c:v>
                </c:pt>
                <c:pt idx="37">
                  <c:v>18.260356476973</c:v>
                </c:pt>
                <c:pt idx="38">
                  <c:v>18.833035046447</c:v>
                </c:pt>
                <c:pt idx="39">
                  <c:v>19.4253171743267</c:v>
                </c:pt>
                <c:pt idx="40">
                  <c:v>20.0204822132311</c:v>
                </c:pt>
                <c:pt idx="41">
                  <c:v>20.6379239068297</c:v>
                </c:pt>
                <c:pt idx="42">
                  <c:v>21.2610425277572</c:v>
                </c:pt>
                <c:pt idx="43">
                  <c:v>21.9027827485005</c:v>
                </c:pt>
                <c:pt idx="44">
                  <c:v>22.5573323208693</c:v>
                </c:pt>
                <c:pt idx="45">
                  <c:v>23.2245775279203</c:v>
                </c:pt>
                <c:pt idx="46">
                  <c:v>23.9141450742559</c:v>
                </c:pt>
                <c:pt idx="47">
                  <c:v>24.6146140778404</c:v>
                </c:pt>
                <c:pt idx="48">
                  <c:v>25.3363274012403</c:v>
                </c:pt>
                <c:pt idx="49">
                  <c:v>26.0781625305039</c:v>
                </c:pt>
                <c:pt idx="50">
                  <c:v>26.8352514003742</c:v>
                </c:pt>
                <c:pt idx="51">
                  <c:v>27.6158457531327</c:v>
                </c:pt>
                <c:pt idx="52">
                  <c:v>28.4210429537501</c:v>
                </c:pt>
                <c:pt idx="53">
                  <c:v>29.2462729184262</c:v>
                </c:pt>
                <c:pt idx="54">
                  <c:v>30.0935348433416</c:v>
                </c:pt>
                <c:pt idx="55">
                  <c:v>30.9703919126939</c:v>
                </c:pt>
                <c:pt idx="56">
                  <c:v>31.8759253015704</c:v>
                </c:pt>
                <c:pt idx="57">
                  <c:v>32.8087470980404</c:v>
                </c:pt>
                <c:pt idx="58">
                  <c:v>33.7710675465669</c:v>
                </c:pt>
                <c:pt idx="59">
                  <c:v>34.7651527121206</c:v>
                </c:pt>
                <c:pt idx="60">
                  <c:v>35.7933159431132</c:v>
                </c:pt>
                <c:pt idx="61">
                  <c:v>36.8579085357569</c:v>
                </c:pt>
                <c:pt idx="62">
                  <c:v>37.9613090077782</c:v>
                </c:pt>
                <c:pt idx="63">
                  <c:v>39.1059105211176</c:v>
                </c:pt>
                <c:pt idx="64">
                  <c:v>40.294106136566</c:v>
                </c:pt>
                <c:pt idx="65">
                  <c:v>41.5282717247214</c:v>
                </c:pt>
                <c:pt idx="66">
                  <c:v>42.8107464793642</c:v>
                </c:pt>
                <c:pt idx="67">
                  <c:v>44.1438110613004</c:v>
                </c:pt>
                <c:pt idx="68">
                  <c:v>45.5296634241234</c:v>
                </c:pt>
                <c:pt idx="69">
                  <c:v>46.9801341601422</c:v>
                </c:pt>
                <c:pt idx="70">
                  <c:v>48.4896074667817</c:v>
                </c:pt>
                <c:pt idx="71">
                  <c:v>50.0606752787515</c:v>
                </c:pt>
                <c:pt idx="72">
                  <c:v>51.7063288398132</c:v>
                </c:pt>
                <c:pt idx="73">
                  <c:v>53.4175689869886</c:v>
                </c:pt>
                <c:pt idx="74">
                  <c:v>55.2079707042472</c:v>
                </c:pt>
                <c:pt idx="75">
                  <c:v>57.0726006962299</c:v>
                </c:pt>
                <c:pt idx="76">
                  <c:v>59.0126860303279</c:v>
                </c:pt>
                <c:pt idx="77">
                  <c:v>61.0311198540233</c:v>
                </c:pt>
                <c:pt idx="78">
                  <c:v>63.1255371748255</c:v>
                </c:pt>
                <c:pt idx="79">
                  <c:v>65.290019519097</c:v>
                </c:pt>
                <c:pt idx="80">
                  <c:v>67.5190404008656</c:v>
                </c:pt>
                <c:pt idx="81">
                  <c:v>69.8052531142561</c:v>
                </c:pt>
                <c:pt idx="82">
                  <c:v>72.1401281863197</c:v>
                </c:pt>
                <c:pt idx="83">
                  <c:v>74.5149902493477</c:v>
                </c:pt>
                <c:pt idx="84">
                  <c:v>76.9204556335566</c:v>
                </c:pt>
                <c:pt idx="85">
                  <c:v>79.3467343508386</c:v>
                </c:pt>
                <c:pt idx="86">
                  <c:v>81.7849525539167</c:v>
                </c:pt>
                <c:pt idx="87">
                  <c:v>84.2264118589595</c:v>
                </c:pt>
                <c:pt idx="88">
                  <c:v>86.6624225337556</c:v>
                </c:pt>
                <c:pt idx="89">
                  <c:v>89.083235107282</c:v>
                </c:pt>
                <c:pt idx="90">
                  <c:v>91.4798306718869</c:v>
                </c:pt>
                <c:pt idx="91">
                  <c:v>93.8424010324756</c:v>
                </c:pt>
                <c:pt idx="92">
                  <c:v>96.1603723524344</c:v>
                </c:pt>
                <c:pt idx="93">
                  <c:v>98.4222308149874</c:v>
                </c:pt>
                <c:pt idx="94">
                  <c:v>100.61532675762</c:v>
                </c:pt>
                <c:pt idx="95">
                  <c:v>102.725740693148</c:v>
                </c:pt>
                <c:pt idx="96">
                  <c:v>104.738561608054</c:v>
                </c:pt>
                <c:pt idx="97">
                  <c:v>106.638548628792</c:v>
                </c:pt>
                <c:pt idx="98">
                  <c:v>108.390771316507</c:v>
                </c:pt>
                <c:pt idx="99">
                  <c:v>110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'Middle finger results'!$K$2</c:f>
              <c:strCache>
                <c:ptCount val="1"/>
                <c:pt idx="0">
                  <c:v>Theta2</c:v>
                </c:pt>
              </c:strCache>
            </c:strRef>
          </c:tx>
          <c:spPr>
            <a:ln w="19080" cap="rnd" cmpd="sng" algn="ctr">
              <a:solidFill>
                <a:srgbClr val="A5A5A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xVal>
            <c:numRef>
              <c:f>'Middle finger results'!$H$3:$H$102</c:f>
              <c:numCache>
                <c:formatCode>General</c:formatCode>
                <c:ptCount val="100"/>
                <c:pt idx="0">
                  <c:v>0</c:v>
                </c:pt>
                <c:pt idx="1">
                  <c:v>0.300562077620227</c:v>
                </c:pt>
                <c:pt idx="2">
                  <c:v>0.601124155240454</c:v>
                </c:pt>
                <c:pt idx="3">
                  <c:v>0.901686232860681</c:v>
                </c:pt>
                <c:pt idx="4">
                  <c:v>1.20224831048091</c:v>
                </c:pt>
                <c:pt idx="5">
                  <c:v>1.50281038810114</c:v>
                </c:pt>
                <c:pt idx="6">
                  <c:v>1.80337246572137</c:v>
                </c:pt>
                <c:pt idx="7">
                  <c:v>2.1039345433416</c:v>
                </c:pt>
                <c:pt idx="8">
                  <c:v>2.40449662096182</c:v>
                </c:pt>
                <c:pt idx="9">
                  <c:v>2.70505869858205</c:v>
                </c:pt>
                <c:pt idx="10">
                  <c:v>3.00562077620228</c:v>
                </c:pt>
                <c:pt idx="11">
                  <c:v>3.30618285382251</c:v>
                </c:pt>
                <c:pt idx="12">
                  <c:v>3.60674493144273</c:v>
                </c:pt>
                <c:pt idx="13">
                  <c:v>3.90730700906296</c:v>
                </c:pt>
                <c:pt idx="14">
                  <c:v>4.20786908668319</c:v>
                </c:pt>
                <c:pt idx="15">
                  <c:v>4.50843116430342</c:v>
                </c:pt>
                <c:pt idx="16">
                  <c:v>4.80899324192365</c:v>
                </c:pt>
                <c:pt idx="17">
                  <c:v>5.10955531954387</c:v>
                </c:pt>
                <c:pt idx="18">
                  <c:v>5.4101173971641</c:v>
                </c:pt>
                <c:pt idx="19">
                  <c:v>5.71067947478433</c:v>
                </c:pt>
                <c:pt idx="20">
                  <c:v>6.01124155240456</c:v>
                </c:pt>
                <c:pt idx="21">
                  <c:v>6.31180363002478</c:v>
                </c:pt>
                <c:pt idx="22">
                  <c:v>6.61236570764501</c:v>
                </c:pt>
                <c:pt idx="23">
                  <c:v>6.91292778526524</c:v>
                </c:pt>
                <c:pt idx="24">
                  <c:v>7.21348986288547</c:v>
                </c:pt>
                <c:pt idx="25">
                  <c:v>7.5140519405057</c:v>
                </c:pt>
                <c:pt idx="26">
                  <c:v>7.81461401812592</c:v>
                </c:pt>
                <c:pt idx="27">
                  <c:v>8.11517609574615</c:v>
                </c:pt>
                <c:pt idx="28">
                  <c:v>8.41573817336638</c:v>
                </c:pt>
                <c:pt idx="29">
                  <c:v>8.71630025098661</c:v>
                </c:pt>
                <c:pt idx="30">
                  <c:v>9.01686232860684</c:v>
                </c:pt>
                <c:pt idx="31">
                  <c:v>9.31742440622706</c:v>
                </c:pt>
                <c:pt idx="32">
                  <c:v>9.61798648384729</c:v>
                </c:pt>
                <c:pt idx="33">
                  <c:v>9.91854856146752</c:v>
                </c:pt>
                <c:pt idx="34">
                  <c:v>10.2191106390877</c:v>
                </c:pt>
                <c:pt idx="35">
                  <c:v>10.519672716708</c:v>
                </c:pt>
                <c:pt idx="36">
                  <c:v>10.8202347943282</c:v>
                </c:pt>
                <c:pt idx="37">
                  <c:v>11.1207968719484</c:v>
                </c:pt>
                <c:pt idx="38">
                  <c:v>11.4213589495687</c:v>
                </c:pt>
                <c:pt idx="39">
                  <c:v>11.7219210271889</c:v>
                </c:pt>
                <c:pt idx="40">
                  <c:v>12.0224831048091</c:v>
                </c:pt>
                <c:pt idx="41">
                  <c:v>12.3230451824293</c:v>
                </c:pt>
                <c:pt idx="42">
                  <c:v>12.6236072600496</c:v>
                </c:pt>
                <c:pt idx="43">
                  <c:v>12.9241693376698</c:v>
                </c:pt>
                <c:pt idx="44">
                  <c:v>13.22473141529</c:v>
                </c:pt>
                <c:pt idx="45">
                  <c:v>13.5252934929102</c:v>
                </c:pt>
                <c:pt idx="46">
                  <c:v>13.8258555705305</c:v>
                </c:pt>
                <c:pt idx="47">
                  <c:v>14.1264176481507</c:v>
                </c:pt>
                <c:pt idx="48">
                  <c:v>14.4269797257709</c:v>
                </c:pt>
                <c:pt idx="49">
                  <c:v>14.7275418033912</c:v>
                </c:pt>
                <c:pt idx="50">
                  <c:v>15.0281038810114</c:v>
                </c:pt>
                <c:pt idx="51">
                  <c:v>15.3286659586316</c:v>
                </c:pt>
                <c:pt idx="52">
                  <c:v>15.6292280362518</c:v>
                </c:pt>
                <c:pt idx="53">
                  <c:v>15.9297901138721</c:v>
                </c:pt>
                <c:pt idx="54">
                  <c:v>16.2303521914923</c:v>
                </c:pt>
                <c:pt idx="55">
                  <c:v>16.5309142691125</c:v>
                </c:pt>
                <c:pt idx="56">
                  <c:v>16.8314763467328</c:v>
                </c:pt>
                <c:pt idx="57">
                  <c:v>17.132038424353</c:v>
                </c:pt>
                <c:pt idx="58">
                  <c:v>17.4326005019732</c:v>
                </c:pt>
                <c:pt idx="59">
                  <c:v>17.7331625795934</c:v>
                </c:pt>
                <c:pt idx="60">
                  <c:v>18.0337246572137</c:v>
                </c:pt>
                <c:pt idx="61">
                  <c:v>18.3342867348339</c:v>
                </c:pt>
                <c:pt idx="62">
                  <c:v>18.6348488124541</c:v>
                </c:pt>
                <c:pt idx="63">
                  <c:v>18.9354108900744</c:v>
                </c:pt>
                <c:pt idx="64">
                  <c:v>19.2359729676946</c:v>
                </c:pt>
                <c:pt idx="65">
                  <c:v>19.5365350453148</c:v>
                </c:pt>
                <c:pt idx="66">
                  <c:v>19.837097122935</c:v>
                </c:pt>
                <c:pt idx="67">
                  <c:v>20.1376592005553</c:v>
                </c:pt>
                <c:pt idx="68">
                  <c:v>20.4382212781755</c:v>
                </c:pt>
                <c:pt idx="69">
                  <c:v>20.7387833557957</c:v>
                </c:pt>
                <c:pt idx="70">
                  <c:v>21.039345433416</c:v>
                </c:pt>
                <c:pt idx="71">
                  <c:v>21.3399075110362</c:v>
                </c:pt>
                <c:pt idx="72">
                  <c:v>21.6404695886564</c:v>
                </c:pt>
                <c:pt idx="73">
                  <c:v>21.9410316662766</c:v>
                </c:pt>
                <c:pt idx="74">
                  <c:v>22.2415937438969</c:v>
                </c:pt>
                <c:pt idx="75">
                  <c:v>22.5421558215171</c:v>
                </c:pt>
                <c:pt idx="76">
                  <c:v>22.8427178991373</c:v>
                </c:pt>
                <c:pt idx="77">
                  <c:v>23.1432799767575</c:v>
                </c:pt>
                <c:pt idx="78">
                  <c:v>23.4438420543778</c:v>
                </c:pt>
                <c:pt idx="79">
                  <c:v>23.744404131998</c:v>
                </c:pt>
                <c:pt idx="80">
                  <c:v>24.0449662096182</c:v>
                </c:pt>
                <c:pt idx="81">
                  <c:v>24.3455282872385</c:v>
                </c:pt>
                <c:pt idx="82">
                  <c:v>24.6460903648587</c:v>
                </c:pt>
                <c:pt idx="83">
                  <c:v>24.9466524424789</c:v>
                </c:pt>
                <c:pt idx="84">
                  <c:v>25.2472145200991</c:v>
                </c:pt>
                <c:pt idx="85">
                  <c:v>25.5477765977194</c:v>
                </c:pt>
                <c:pt idx="86">
                  <c:v>25.8483386753396</c:v>
                </c:pt>
                <c:pt idx="87">
                  <c:v>26.1489007529598</c:v>
                </c:pt>
                <c:pt idx="88">
                  <c:v>26.44946283058</c:v>
                </c:pt>
                <c:pt idx="89">
                  <c:v>26.7500249082003</c:v>
                </c:pt>
                <c:pt idx="90">
                  <c:v>27.0505869858205</c:v>
                </c:pt>
                <c:pt idx="91">
                  <c:v>27.3511490634407</c:v>
                </c:pt>
                <c:pt idx="92">
                  <c:v>27.651711141061</c:v>
                </c:pt>
                <c:pt idx="93">
                  <c:v>27.9522732186812</c:v>
                </c:pt>
                <c:pt idx="94">
                  <c:v>28.2528352963014</c:v>
                </c:pt>
                <c:pt idx="95">
                  <c:v>28.5533973739216</c:v>
                </c:pt>
                <c:pt idx="96">
                  <c:v>28.8539594515419</c:v>
                </c:pt>
                <c:pt idx="97">
                  <c:v>29.1545215291621</c:v>
                </c:pt>
                <c:pt idx="98">
                  <c:v>29.4550836067823</c:v>
                </c:pt>
                <c:pt idx="99">
                  <c:v>29.7556456844026</c:v>
                </c:pt>
              </c:numCache>
            </c:numRef>
          </c:xVal>
          <c:yVal>
            <c:numRef>
              <c:f>'Middle finger results'!$K$3:$K$102</c:f>
              <c:numCache>
                <c:formatCode>General</c:formatCode>
                <c:ptCount val="100"/>
                <c:pt idx="0">
                  <c:v>0</c:v>
                </c:pt>
                <c:pt idx="1">
                  <c:v>0.430005556956739</c:v>
                </c:pt>
                <c:pt idx="2">
                  <c:v>0.858027963012655</c:v>
                </c:pt>
                <c:pt idx="3">
                  <c:v>1.25606812070854</c:v>
                </c:pt>
                <c:pt idx="4">
                  <c:v>1.65410827840443</c:v>
                </c:pt>
                <c:pt idx="5">
                  <c:v>2.03019409603233</c:v>
                </c:pt>
                <c:pt idx="6">
                  <c:v>2.40556467587606</c:v>
                </c:pt>
                <c:pt idx="7">
                  <c:v>2.76918086714741</c:v>
                </c:pt>
                <c:pt idx="8">
                  <c:v>3.12884586513807</c:v>
                </c:pt>
                <c:pt idx="9">
                  <c:v>3.48406350492512</c:v>
                </c:pt>
                <c:pt idx="10">
                  <c:v>3.83342057314351</c:v>
                </c:pt>
                <c:pt idx="11">
                  <c:v>4.18250084854083</c:v>
                </c:pt>
                <c:pt idx="12">
                  <c:v>4.52585582624012</c:v>
                </c:pt>
                <c:pt idx="13">
                  <c:v>4.86921080393942</c:v>
                </c:pt>
                <c:pt idx="14">
                  <c:v>5.21102985047458</c:v>
                </c:pt>
                <c:pt idx="15">
                  <c:v>5.55190385684093</c:v>
                </c:pt>
                <c:pt idx="16">
                  <c:v>5.89285832051761</c:v>
                </c:pt>
                <c:pt idx="17">
                  <c:v>6.23419369491519</c:v>
                </c:pt>
                <c:pt idx="18">
                  <c:v>6.57552906931277</c:v>
                </c:pt>
                <c:pt idx="19">
                  <c:v>6.91903940585589</c:v>
                </c:pt>
                <c:pt idx="20">
                  <c:v>7.2633419989355</c:v>
                </c:pt>
                <c:pt idx="21">
                  <c:v>7.60925078272793</c:v>
                </c:pt>
                <c:pt idx="22">
                  <c:v>7.95869079717772</c:v>
                </c:pt>
                <c:pt idx="23">
                  <c:v>8.30813081162752</c:v>
                </c:pt>
                <c:pt idx="24">
                  <c:v>8.66410775126817</c:v>
                </c:pt>
                <c:pt idx="25">
                  <c:v>9.02059279685801</c:v>
                </c:pt>
                <c:pt idx="26">
                  <c:v>9.38223889977981</c:v>
                </c:pt>
                <c:pt idx="27">
                  <c:v>9.7474679664581</c:v>
                </c:pt>
                <c:pt idx="28">
                  <c:v>10.1158675400263</c:v>
                </c:pt>
                <c:pt idx="29">
                  <c:v>10.4913716001099</c:v>
                </c:pt>
                <c:pt idx="30">
                  <c:v>10.8679180089878</c:v>
                </c:pt>
                <c:pt idx="31">
                  <c:v>11.2550910926872</c:v>
                </c:pt>
                <c:pt idx="32">
                  <c:v>11.6422641763866</c:v>
                </c:pt>
                <c:pt idx="33">
                  <c:v>12.0415713413328</c:v>
                </c:pt>
                <c:pt idx="34">
                  <c:v>12.4416947295481</c:v>
                </c:pt>
                <c:pt idx="35">
                  <c:v>12.8538959507474</c:v>
                </c:pt>
                <c:pt idx="36">
                  <c:v>13.2681573357648</c:v>
                </c:pt>
                <c:pt idx="37">
                  <c:v>13.6952673577298</c:v>
                </c:pt>
                <c:pt idx="38">
                  <c:v>14.1247762848353</c:v>
                </c:pt>
                <c:pt idx="39">
                  <c:v>14.568987880745</c:v>
                </c:pt>
                <c:pt idx="40">
                  <c:v>15.0153616599233</c:v>
                </c:pt>
                <c:pt idx="41">
                  <c:v>15.4784429301223</c:v>
                </c:pt>
                <c:pt idx="42">
                  <c:v>15.9457818958179</c:v>
                </c:pt>
                <c:pt idx="43">
                  <c:v>16.4270870613754</c:v>
                </c:pt>
                <c:pt idx="44">
                  <c:v>16.917999240652</c:v>
                </c:pt>
                <c:pt idx="45">
                  <c:v>17.4184331459402</c:v>
                </c:pt>
                <c:pt idx="46">
                  <c:v>17.9356088056919</c:v>
                </c:pt>
                <c:pt idx="47">
                  <c:v>18.4609605583803</c:v>
                </c:pt>
                <c:pt idx="48">
                  <c:v>19.0022455509302</c:v>
                </c:pt>
                <c:pt idx="49">
                  <c:v>19.5586218978779</c:v>
                </c:pt>
                <c:pt idx="50">
                  <c:v>20.1264385502807</c:v>
                </c:pt>
                <c:pt idx="51">
                  <c:v>20.7118843148495</c:v>
                </c:pt>
                <c:pt idx="52">
                  <c:v>21.3157822153126</c:v>
                </c:pt>
                <c:pt idx="53">
                  <c:v>21.9347046888196</c:v>
                </c:pt>
                <c:pt idx="54">
                  <c:v>22.5701511325062</c:v>
                </c:pt>
                <c:pt idx="55">
                  <c:v>23.2277939345205</c:v>
                </c:pt>
                <c:pt idx="56">
                  <c:v>23.9069439761778</c:v>
                </c:pt>
                <c:pt idx="57">
                  <c:v>24.6065603235303</c:v>
                </c:pt>
                <c:pt idx="58">
                  <c:v>25.3283006599252</c:v>
                </c:pt>
                <c:pt idx="59">
                  <c:v>26.0738645340904</c:v>
                </c:pt>
                <c:pt idx="60">
                  <c:v>26.8449869573349</c:v>
                </c:pt>
                <c:pt idx="61">
                  <c:v>27.6434314018177</c:v>
                </c:pt>
                <c:pt idx="62">
                  <c:v>28.4709817558336</c:v>
                </c:pt>
                <c:pt idx="63">
                  <c:v>29.3294328908382</c:v>
                </c:pt>
                <c:pt idx="64">
                  <c:v>30.2205796024245</c:v>
                </c:pt>
                <c:pt idx="65">
                  <c:v>31.1462037935411</c:v>
                </c:pt>
                <c:pt idx="66">
                  <c:v>32.1080598595231</c:v>
                </c:pt>
                <c:pt idx="67">
                  <c:v>33.1078582959753</c:v>
                </c:pt>
                <c:pt idx="68">
                  <c:v>34.1472475680925</c:v>
                </c:pt>
                <c:pt idx="69">
                  <c:v>35.2351006201066</c:v>
                </c:pt>
                <c:pt idx="70">
                  <c:v>36.3672056000862</c:v>
                </c:pt>
                <c:pt idx="71">
                  <c:v>37.5455064590636</c:v>
                </c:pt>
                <c:pt idx="72">
                  <c:v>38.7797466298599</c:v>
                </c:pt>
                <c:pt idx="73">
                  <c:v>40.0631767402415</c:v>
                </c:pt>
                <c:pt idx="74">
                  <c:v>41.4059780281854</c:v>
                </c:pt>
                <c:pt idx="75">
                  <c:v>42.8044505221724</c:v>
                </c:pt>
                <c:pt idx="76">
                  <c:v>44.2595145227459</c:v>
                </c:pt>
                <c:pt idx="77">
                  <c:v>45.7733398905175</c:v>
                </c:pt>
                <c:pt idx="78">
                  <c:v>47.3441528811192</c:v>
                </c:pt>
                <c:pt idx="79">
                  <c:v>48.9675146393228</c:v>
                </c:pt>
                <c:pt idx="80">
                  <c:v>50.6392803006492</c:v>
                </c:pt>
                <c:pt idx="81">
                  <c:v>52.3539398356921</c:v>
                </c:pt>
                <c:pt idx="82">
                  <c:v>54.1050961397397</c:v>
                </c:pt>
                <c:pt idx="83">
                  <c:v>55.8862426870108</c:v>
                </c:pt>
                <c:pt idx="84">
                  <c:v>57.6903417251674</c:v>
                </c:pt>
                <c:pt idx="85">
                  <c:v>59.510050763129</c:v>
                </c:pt>
                <c:pt idx="86">
                  <c:v>61.3387144154375</c:v>
                </c:pt>
                <c:pt idx="87">
                  <c:v>63.1698088942196</c:v>
                </c:pt>
                <c:pt idx="88">
                  <c:v>64.9968169003167</c:v>
                </c:pt>
                <c:pt idx="89">
                  <c:v>66.8124263304615</c:v>
                </c:pt>
                <c:pt idx="90">
                  <c:v>68.6098730039151</c:v>
                </c:pt>
                <c:pt idx="91">
                  <c:v>70.3818007743567</c:v>
                </c:pt>
                <c:pt idx="92">
                  <c:v>72.1202792643258</c:v>
                </c:pt>
                <c:pt idx="93">
                  <c:v>73.8166731112406</c:v>
                </c:pt>
                <c:pt idx="94">
                  <c:v>75.4614950682148</c:v>
                </c:pt>
                <c:pt idx="95">
                  <c:v>77.044305519861</c:v>
                </c:pt>
                <c:pt idx="96">
                  <c:v>78.5539212060403</c:v>
                </c:pt>
                <c:pt idx="97">
                  <c:v>79.978911471594</c:v>
                </c:pt>
                <c:pt idx="98">
                  <c:v>81.2930784873799</c:v>
                </c:pt>
                <c:pt idx="99">
                  <c:v>82.5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'Middle finger results'!$L$2</c:f>
              <c:strCache>
                <c:ptCount val="1"/>
                <c:pt idx="0">
                  <c:v>Theta3</c:v>
                </c:pt>
              </c:strCache>
            </c:strRef>
          </c:tx>
          <c:spPr>
            <a:ln w="19080" cap="rnd" cmpd="sng" algn="ctr">
              <a:solidFill>
                <a:srgbClr val="FFC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xVal>
            <c:numRef>
              <c:f>'Middle finger results'!$H$3:$H$102</c:f>
              <c:numCache>
                <c:formatCode>General</c:formatCode>
                <c:ptCount val="100"/>
                <c:pt idx="0">
                  <c:v>0</c:v>
                </c:pt>
                <c:pt idx="1">
                  <c:v>0.300562077620227</c:v>
                </c:pt>
                <c:pt idx="2">
                  <c:v>0.601124155240454</c:v>
                </c:pt>
                <c:pt idx="3">
                  <c:v>0.901686232860681</c:v>
                </c:pt>
                <c:pt idx="4">
                  <c:v>1.20224831048091</c:v>
                </c:pt>
                <c:pt idx="5">
                  <c:v>1.50281038810114</c:v>
                </c:pt>
                <c:pt idx="6">
                  <c:v>1.80337246572137</c:v>
                </c:pt>
                <c:pt idx="7">
                  <c:v>2.1039345433416</c:v>
                </c:pt>
                <c:pt idx="8">
                  <c:v>2.40449662096182</c:v>
                </c:pt>
                <c:pt idx="9">
                  <c:v>2.70505869858205</c:v>
                </c:pt>
                <c:pt idx="10">
                  <c:v>3.00562077620228</c:v>
                </c:pt>
                <c:pt idx="11">
                  <c:v>3.30618285382251</c:v>
                </c:pt>
                <c:pt idx="12">
                  <c:v>3.60674493144273</c:v>
                </c:pt>
                <c:pt idx="13">
                  <c:v>3.90730700906296</c:v>
                </c:pt>
                <c:pt idx="14">
                  <c:v>4.20786908668319</c:v>
                </c:pt>
                <c:pt idx="15">
                  <c:v>4.50843116430342</c:v>
                </c:pt>
                <c:pt idx="16">
                  <c:v>4.80899324192365</c:v>
                </c:pt>
                <c:pt idx="17">
                  <c:v>5.10955531954387</c:v>
                </c:pt>
                <c:pt idx="18">
                  <c:v>5.4101173971641</c:v>
                </c:pt>
                <c:pt idx="19">
                  <c:v>5.71067947478433</c:v>
                </c:pt>
                <c:pt idx="20">
                  <c:v>6.01124155240456</c:v>
                </c:pt>
                <c:pt idx="21">
                  <c:v>6.31180363002478</c:v>
                </c:pt>
                <c:pt idx="22">
                  <c:v>6.61236570764501</c:v>
                </c:pt>
                <c:pt idx="23">
                  <c:v>6.91292778526524</c:v>
                </c:pt>
                <c:pt idx="24">
                  <c:v>7.21348986288547</c:v>
                </c:pt>
                <c:pt idx="25">
                  <c:v>7.5140519405057</c:v>
                </c:pt>
                <c:pt idx="26">
                  <c:v>7.81461401812592</c:v>
                </c:pt>
                <c:pt idx="27">
                  <c:v>8.11517609574615</c:v>
                </c:pt>
                <c:pt idx="28">
                  <c:v>8.41573817336638</c:v>
                </c:pt>
                <c:pt idx="29">
                  <c:v>8.71630025098661</c:v>
                </c:pt>
                <c:pt idx="30">
                  <c:v>9.01686232860684</c:v>
                </c:pt>
                <c:pt idx="31">
                  <c:v>9.31742440622706</c:v>
                </c:pt>
                <c:pt idx="32">
                  <c:v>9.61798648384729</c:v>
                </c:pt>
                <c:pt idx="33">
                  <c:v>9.91854856146752</c:v>
                </c:pt>
                <c:pt idx="34">
                  <c:v>10.2191106390877</c:v>
                </c:pt>
                <c:pt idx="35">
                  <c:v>10.519672716708</c:v>
                </c:pt>
                <c:pt idx="36">
                  <c:v>10.8202347943282</c:v>
                </c:pt>
                <c:pt idx="37">
                  <c:v>11.1207968719484</c:v>
                </c:pt>
                <c:pt idx="38">
                  <c:v>11.4213589495687</c:v>
                </c:pt>
                <c:pt idx="39">
                  <c:v>11.7219210271889</c:v>
                </c:pt>
                <c:pt idx="40">
                  <c:v>12.0224831048091</c:v>
                </c:pt>
                <c:pt idx="41">
                  <c:v>12.3230451824293</c:v>
                </c:pt>
                <c:pt idx="42">
                  <c:v>12.6236072600496</c:v>
                </c:pt>
                <c:pt idx="43">
                  <c:v>12.9241693376698</c:v>
                </c:pt>
                <c:pt idx="44">
                  <c:v>13.22473141529</c:v>
                </c:pt>
                <c:pt idx="45">
                  <c:v>13.5252934929102</c:v>
                </c:pt>
                <c:pt idx="46">
                  <c:v>13.8258555705305</c:v>
                </c:pt>
                <c:pt idx="47">
                  <c:v>14.1264176481507</c:v>
                </c:pt>
                <c:pt idx="48">
                  <c:v>14.4269797257709</c:v>
                </c:pt>
                <c:pt idx="49">
                  <c:v>14.7275418033912</c:v>
                </c:pt>
                <c:pt idx="50">
                  <c:v>15.0281038810114</c:v>
                </c:pt>
                <c:pt idx="51">
                  <c:v>15.3286659586316</c:v>
                </c:pt>
                <c:pt idx="52">
                  <c:v>15.6292280362518</c:v>
                </c:pt>
                <c:pt idx="53">
                  <c:v>15.9297901138721</c:v>
                </c:pt>
                <c:pt idx="54">
                  <c:v>16.2303521914923</c:v>
                </c:pt>
                <c:pt idx="55">
                  <c:v>16.5309142691125</c:v>
                </c:pt>
                <c:pt idx="56">
                  <c:v>16.8314763467328</c:v>
                </c:pt>
                <c:pt idx="57">
                  <c:v>17.132038424353</c:v>
                </c:pt>
                <c:pt idx="58">
                  <c:v>17.4326005019732</c:v>
                </c:pt>
                <c:pt idx="59">
                  <c:v>17.7331625795934</c:v>
                </c:pt>
                <c:pt idx="60">
                  <c:v>18.0337246572137</c:v>
                </c:pt>
                <c:pt idx="61">
                  <c:v>18.3342867348339</c:v>
                </c:pt>
                <c:pt idx="62">
                  <c:v>18.6348488124541</c:v>
                </c:pt>
                <c:pt idx="63">
                  <c:v>18.9354108900744</c:v>
                </c:pt>
                <c:pt idx="64">
                  <c:v>19.2359729676946</c:v>
                </c:pt>
                <c:pt idx="65">
                  <c:v>19.5365350453148</c:v>
                </c:pt>
                <c:pt idx="66">
                  <c:v>19.837097122935</c:v>
                </c:pt>
                <c:pt idx="67">
                  <c:v>20.1376592005553</c:v>
                </c:pt>
                <c:pt idx="68">
                  <c:v>20.4382212781755</c:v>
                </c:pt>
                <c:pt idx="69">
                  <c:v>20.7387833557957</c:v>
                </c:pt>
                <c:pt idx="70">
                  <c:v>21.039345433416</c:v>
                </c:pt>
                <c:pt idx="71">
                  <c:v>21.3399075110362</c:v>
                </c:pt>
                <c:pt idx="72">
                  <c:v>21.6404695886564</c:v>
                </c:pt>
                <c:pt idx="73">
                  <c:v>21.9410316662766</c:v>
                </c:pt>
                <c:pt idx="74">
                  <c:v>22.2415937438969</c:v>
                </c:pt>
                <c:pt idx="75">
                  <c:v>22.5421558215171</c:v>
                </c:pt>
                <c:pt idx="76">
                  <c:v>22.8427178991373</c:v>
                </c:pt>
                <c:pt idx="77">
                  <c:v>23.1432799767575</c:v>
                </c:pt>
                <c:pt idx="78">
                  <c:v>23.4438420543778</c:v>
                </c:pt>
                <c:pt idx="79">
                  <c:v>23.744404131998</c:v>
                </c:pt>
                <c:pt idx="80">
                  <c:v>24.0449662096182</c:v>
                </c:pt>
                <c:pt idx="81">
                  <c:v>24.3455282872385</c:v>
                </c:pt>
                <c:pt idx="82">
                  <c:v>24.6460903648587</c:v>
                </c:pt>
                <c:pt idx="83">
                  <c:v>24.9466524424789</c:v>
                </c:pt>
                <c:pt idx="84">
                  <c:v>25.2472145200991</c:v>
                </c:pt>
                <c:pt idx="85">
                  <c:v>25.5477765977194</c:v>
                </c:pt>
                <c:pt idx="86">
                  <c:v>25.8483386753396</c:v>
                </c:pt>
                <c:pt idx="87">
                  <c:v>26.1489007529598</c:v>
                </c:pt>
                <c:pt idx="88">
                  <c:v>26.44946283058</c:v>
                </c:pt>
                <c:pt idx="89">
                  <c:v>26.7500249082003</c:v>
                </c:pt>
                <c:pt idx="90">
                  <c:v>27.0505869858205</c:v>
                </c:pt>
                <c:pt idx="91">
                  <c:v>27.3511490634407</c:v>
                </c:pt>
                <c:pt idx="92">
                  <c:v>27.651711141061</c:v>
                </c:pt>
                <c:pt idx="93">
                  <c:v>27.9522732186812</c:v>
                </c:pt>
                <c:pt idx="94">
                  <c:v>28.2528352963014</c:v>
                </c:pt>
                <c:pt idx="95">
                  <c:v>28.5533973739216</c:v>
                </c:pt>
                <c:pt idx="96">
                  <c:v>28.8539594515419</c:v>
                </c:pt>
                <c:pt idx="97">
                  <c:v>29.1545215291621</c:v>
                </c:pt>
                <c:pt idx="98">
                  <c:v>29.4550836067823</c:v>
                </c:pt>
                <c:pt idx="99">
                  <c:v>29.7556456844026</c:v>
                </c:pt>
              </c:numCache>
            </c:numRef>
          </c:xVal>
          <c:yVal>
            <c:numRef>
              <c:f>'Middle finger results'!$L$3:$L$102</c:f>
              <c:numCache>
                <c:formatCode>General</c:formatCode>
                <c:ptCount val="100"/>
                <c:pt idx="0">
                  <c:v>0</c:v>
                </c:pt>
                <c:pt idx="1">
                  <c:v>0.286670371304493</c:v>
                </c:pt>
                <c:pt idx="2">
                  <c:v>0.572018642008437</c:v>
                </c:pt>
                <c:pt idx="3">
                  <c:v>0.837378747139027</c:v>
                </c:pt>
                <c:pt idx="4">
                  <c:v>1.10273885226962</c:v>
                </c:pt>
                <c:pt idx="5">
                  <c:v>1.35346273068822</c:v>
                </c:pt>
                <c:pt idx="6">
                  <c:v>1.60370978391737</c:v>
                </c:pt>
                <c:pt idx="7">
                  <c:v>1.84612057809827</c:v>
                </c:pt>
                <c:pt idx="8">
                  <c:v>2.08589724342538</c:v>
                </c:pt>
                <c:pt idx="9">
                  <c:v>2.32270900328341</c:v>
                </c:pt>
                <c:pt idx="10">
                  <c:v>2.55561371542901</c:v>
                </c:pt>
                <c:pt idx="11">
                  <c:v>2.78833389902722</c:v>
                </c:pt>
                <c:pt idx="12">
                  <c:v>3.01723721749342</c:v>
                </c:pt>
                <c:pt idx="13">
                  <c:v>3.24614053595961</c:v>
                </c:pt>
                <c:pt idx="14">
                  <c:v>3.47401990031639</c:v>
                </c:pt>
                <c:pt idx="15">
                  <c:v>3.70126923789395</c:v>
                </c:pt>
                <c:pt idx="16">
                  <c:v>3.92857221367841</c:v>
                </c:pt>
                <c:pt idx="17">
                  <c:v>4.15612912994346</c:v>
                </c:pt>
                <c:pt idx="18">
                  <c:v>4.38368604620852</c:v>
                </c:pt>
                <c:pt idx="19">
                  <c:v>4.61269293723726</c:v>
                </c:pt>
                <c:pt idx="20">
                  <c:v>4.84222799929034</c:v>
                </c:pt>
                <c:pt idx="21">
                  <c:v>5.07283385515195</c:v>
                </c:pt>
                <c:pt idx="22">
                  <c:v>5.30579386478515</c:v>
                </c:pt>
                <c:pt idx="23">
                  <c:v>5.53875387441835</c:v>
                </c:pt>
                <c:pt idx="24">
                  <c:v>5.77607183417878</c:v>
                </c:pt>
                <c:pt idx="25">
                  <c:v>6.01372853123867</c:v>
                </c:pt>
                <c:pt idx="26">
                  <c:v>6.25482593318654</c:v>
                </c:pt>
                <c:pt idx="27">
                  <c:v>6.49831197763874</c:v>
                </c:pt>
                <c:pt idx="28">
                  <c:v>6.74391169335083</c:v>
                </c:pt>
                <c:pt idx="29">
                  <c:v>6.99424773340659</c:v>
                </c:pt>
                <c:pt idx="30">
                  <c:v>7.24527867265851</c:v>
                </c:pt>
                <c:pt idx="31">
                  <c:v>7.50339406179146</c:v>
                </c:pt>
                <c:pt idx="32">
                  <c:v>7.7615094509244</c:v>
                </c:pt>
                <c:pt idx="33">
                  <c:v>8.02771422755522</c:v>
                </c:pt>
                <c:pt idx="34">
                  <c:v>8.29446315303208</c:v>
                </c:pt>
                <c:pt idx="35">
                  <c:v>8.56926396716493</c:v>
                </c:pt>
                <c:pt idx="36">
                  <c:v>8.84543822384321</c:v>
                </c:pt>
                <c:pt idx="37">
                  <c:v>9.1301782384865</c:v>
                </c:pt>
                <c:pt idx="38">
                  <c:v>9.41651752322352</c:v>
                </c:pt>
                <c:pt idx="39">
                  <c:v>9.71265858716337</c:v>
                </c:pt>
                <c:pt idx="40">
                  <c:v>10.0102411066155</c:v>
                </c:pt>
                <c:pt idx="41">
                  <c:v>10.3189619534148</c:v>
                </c:pt>
                <c:pt idx="42">
                  <c:v>10.6305212638786</c:v>
                </c:pt>
                <c:pt idx="43">
                  <c:v>10.9513913742502</c:v>
                </c:pt>
                <c:pt idx="44">
                  <c:v>11.2786661604346</c:v>
                </c:pt>
                <c:pt idx="45">
                  <c:v>11.6122887639601</c:v>
                </c:pt>
                <c:pt idx="46">
                  <c:v>11.957072537128</c:v>
                </c:pt>
                <c:pt idx="47">
                  <c:v>12.3073070389202</c:v>
                </c:pt>
                <c:pt idx="48">
                  <c:v>12.6681637006202</c:v>
                </c:pt>
                <c:pt idx="49">
                  <c:v>13.039081265252</c:v>
                </c:pt>
                <c:pt idx="50">
                  <c:v>13.4176257001871</c:v>
                </c:pt>
                <c:pt idx="51">
                  <c:v>13.8079228765663</c:v>
                </c:pt>
                <c:pt idx="52">
                  <c:v>14.2105214768751</c:v>
                </c:pt>
                <c:pt idx="53">
                  <c:v>14.6231364592131</c:v>
                </c:pt>
                <c:pt idx="54">
                  <c:v>15.0467674216708</c:v>
                </c:pt>
                <c:pt idx="55">
                  <c:v>15.485195956347</c:v>
                </c:pt>
                <c:pt idx="56">
                  <c:v>15.9379626507852</c:v>
                </c:pt>
                <c:pt idx="57">
                  <c:v>16.4043735490202</c:v>
                </c:pt>
                <c:pt idx="58">
                  <c:v>16.8855337732834</c:v>
                </c:pt>
                <c:pt idx="59">
                  <c:v>17.3825763560603</c:v>
                </c:pt>
                <c:pt idx="60">
                  <c:v>17.8966579715566</c:v>
                </c:pt>
                <c:pt idx="61">
                  <c:v>18.4289542678785</c:v>
                </c:pt>
                <c:pt idx="62">
                  <c:v>18.9806545038891</c:v>
                </c:pt>
                <c:pt idx="63">
                  <c:v>19.5529552605588</c:v>
                </c:pt>
                <c:pt idx="64">
                  <c:v>20.147053068283</c:v>
                </c:pt>
                <c:pt idx="65">
                  <c:v>20.7641358623607</c:v>
                </c:pt>
                <c:pt idx="66">
                  <c:v>21.4053732396821</c:v>
                </c:pt>
                <c:pt idx="67">
                  <c:v>22.0719055306502</c:v>
                </c:pt>
                <c:pt idx="68">
                  <c:v>22.7648317120617</c:v>
                </c:pt>
                <c:pt idx="69">
                  <c:v>23.4900670800711</c:v>
                </c:pt>
                <c:pt idx="70">
                  <c:v>24.2448037333908</c:v>
                </c:pt>
                <c:pt idx="71">
                  <c:v>25.0303376393758</c:v>
                </c:pt>
                <c:pt idx="72">
                  <c:v>25.8531644199066</c:v>
                </c:pt>
                <c:pt idx="73">
                  <c:v>26.7087844934943</c:v>
                </c:pt>
                <c:pt idx="74">
                  <c:v>27.6039853521236</c:v>
                </c:pt>
                <c:pt idx="75">
                  <c:v>28.5363003481149</c:v>
                </c:pt>
                <c:pt idx="76">
                  <c:v>29.5063430151639</c:v>
                </c:pt>
                <c:pt idx="77">
                  <c:v>30.5155599270116</c:v>
                </c:pt>
                <c:pt idx="78">
                  <c:v>31.5627685874128</c:v>
                </c:pt>
                <c:pt idx="79">
                  <c:v>32.6450097595485</c:v>
                </c:pt>
                <c:pt idx="80">
                  <c:v>33.7595202004328</c:v>
                </c:pt>
                <c:pt idx="81">
                  <c:v>34.902626557128</c:v>
                </c:pt>
                <c:pt idx="82">
                  <c:v>36.0700640931598</c:v>
                </c:pt>
                <c:pt idx="83">
                  <c:v>37.2574951246738</c:v>
                </c:pt>
                <c:pt idx="84">
                  <c:v>38.4602278167783</c:v>
                </c:pt>
                <c:pt idx="85">
                  <c:v>39.6733671754193</c:v>
                </c:pt>
                <c:pt idx="86">
                  <c:v>40.8924762769583</c:v>
                </c:pt>
                <c:pt idx="87">
                  <c:v>42.1132059294798</c:v>
                </c:pt>
                <c:pt idx="88">
                  <c:v>43.3312112668778</c:v>
                </c:pt>
                <c:pt idx="89">
                  <c:v>44.541617553641</c:v>
                </c:pt>
                <c:pt idx="90">
                  <c:v>45.7399153359434</c:v>
                </c:pt>
                <c:pt idx="91">
                  <c:v>46.9212005162378</c:v>
                </c:pt>
                <c:pt idx="92">
                  <c:v>48.0801861762172</c:v>
                </c:pt>
                <c:pt idx="93">
                  <c:v>49.2111154074937</c:v>
                </c:pt>
                <c:pt idx="94">
                  <c:v>50.3076633788099</c:v>
                </c:pt>
                <c:pt idx="95">
                  <c:v>51.362870346574</c:v>
                </c:pt>
                <c:pt idx="96">
                  <c:v>52.3692808040268</c:v>
                </c:pt>
                <c:pt idx="97">
                  <c:v>53.319274314396</c:v>
                </c:pt>
                <c:pt idx="98">
                  <c:v>54.1953856582533</c:v>
                </c:pt>
                <c:pt idx="99">
                  <c:v>55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'Middle finger results'!$M$2</c:f>
              <c:strCache>
                <c:ptCount val="1"/>
                <c:pt idx="0">
                  <c:v>45 deg deflection line</c:v>
                </c:pt>
              </c:strCache>
            </c:strRef>
          </c:tx>
          <c:spPr>
            <a:ln w="12600" cap="rnd" cmpd="sng" algn="ctr">
              <a:solidFill>
                <a:srgbClr val="4472C4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xVal>
            <c:numRef>
              <c:f>'Middle finger results'!$H$3:$H$102</c:f>
              <c:numCache>
                <c:formatCode>General</c:formatCode>
                <c:ptCount val="100"/>
                <c:pt idx="0">
                  <c:v>0</c:v>
                </c:pt>
                <c:pt idx="1">
                  <c:v>0.300562077620227</c:v>
                </c:pt>
                <c:pt idx="2">
                  <c:v>0.601124155240454</c:v>
                </c:pt>
                <c:pt idx="3">
                  <c:v>0.901686232860681</c:v>
                </c:pt>
                <c:pt idx="4">
                  <c:v>1.20224831048091</c:v>
                </c:pt>
                <c:pt idx="5">
                  <c:v>1.50281038810114</c:v>
                </c:pt>
                <c:pt idx="6">
                  <c:v>1.80337246572137</c:v>
                </c:pt>
                <c:pt idx="7">
                  <c:v>2.1039345433416</c:v>
                </c:pt>
                <c:pt idx="8">
                  <c:v>2.40449662096182</c:v>
                </c:pt>
                <c:pt idx="9">
                  <c:v>2.70505869858205</c:v>
                </c:pt>
                <c:pt idx="10">
                  <c:v>3.00562077620228</c:v>
                </c:pt>
                <c:pt idx="11">
                  <c:v>3.30618285382251</c:v>
                </c:pt>
                <c:pt idx="12">
                  <c:v>3.60674493144273</c:v>
                </c:pt>
                <c:pt idx="13">
                  <c:v>3.90730700906296</c:v>
                </c:pt>
                <c:pt idx="14">
                  <c:v>4.20786908668319</c:v>
                </c:pt>
                <c:pt idx="15">
                  <c:v>4.50843116430342</c:v>
                </c:pt>
                <c:pt idx="16">
                  <c:v>4.80899324192365</c:v>
                </c:pt>
                <c:pt idx="17">
                  <c:v>5.10955531954387</c:v>
                </c:pt>
                <c:pt idx="18">
                  <c:v>5.4101173971641</c:v>
                </c:pt>
                <c:pt idx="19">
                  <c:v>5.71067947478433</c:v>
                </c:pt>
                <c:pt idx="20">
                  <c:v>6.01124155240456</c:v>
                </c:pt>
                <c:pt idx="21">
                  <c:v>6.31180363002478</c:v>
                </c:pt>
                <c:pt idx="22">
                  <c:v>6.61236570764501</c:v>
                </c:pt>
                <c:pt idx="23">
                  <c:v>6.91292778526524</c:v>
                </c:pt>
                <c:pt idx="24">
                  <c:v>7.21348986288547</c:v>
                </c:pt>
                <c:pt idx="25">
                  <c:v>7.5140519405057</c:v>
                </c:pt>
                <c:pt idx="26">
                  <c:v>7.81461401812592</c:v>
                </c:pt>
                <c:pt idx="27">
                  <c:v>8.11517609574615</c:v>
                </c:pt>
                <c:pt idx="28">
                  <c:v>8.41573817336638</c:v>
                </c:pt>
                <c:pt idx="29">
                  <c:v>8.71630025098661</c:v>
                </c:pt>
                <c:pt idx="30">
                  <c:v>9.01686232860684</c:v>
                </c:pt>
                <c:pt idx="31">
                  <c:v>9.31742440622706</c:v>
                </c:pt>
                <c:pt idx="32">
                  <c:v>9.61798648384729</c:v>
                </c:pt>
                <c:pt idx="33">
                  <c:v>9.91854856146752</c:v>
                </c:pt>
                <c:pt idx="34">
                  <c:v>10.2191106390877</c:v>
                </c:pt>
                <c:pt idx="35">
                  <c:v>10.519672716708</c:v>
                </c:pt>
                <c:pt idx="36">
                  <c:v>10.8202347943282</c:v>
                </c:pt>
                <c:pt idx="37">
                  <c:v>11.1207968719484</c:v>
                </c:pt>
                <c:pt idx="38">
                  <c:v>11.4213589495687</c:v>
                </c:pt>
                <c:pt idx="39">
                  <c:v>11.7219210271889</c:v>
                </c:pt>
                <c:pt idx="40">
                  <c:v>12.0224831048091</c:v>
                </c:pt>
                <c:pt idx="41">
                  <c:v>12.3230451824293</c:v>
                </c:pt>
                <c:pt idx="42">
                  <c:v>12.6236072600496</c:v>
                </c:pt>
                <c:pt idx="43">
                  <c:v>12.9241693376698</c:v>
                </c:pt>
                <c:pt idx="44">
                  <c:v>13.22473141529</c:v>
                </c:pt>
                <c:pt idx="45">
                  <c:v>13.5252934929102</c:v>
                </c:pt>
                <c:pt idx="46">
                  <c:v>13.8258555705305</c:v>
                </c:pt>
                <c:pt idx="47">
                  <c:v>14.1264176481507</c:v>
                </c:pt>
                <c:pt idx="48">
                  <c:v>14.4269797257709</c:v>
                </c:pt>
                <c:pt idx="49">
                  <c:v>14.7275418033912</c:v>
                </c:pt>
                <c:pt idx="50">
                  <c:v>15.0281038810114</c:v>
                </c:pt>
                <c:pt idx="51">
                  <c:v>15.3286659586316</c:v>
                </c:pt>
                <c:pt idx="52">
                  <c:v>15.6292280362518</c:v>
                </c:pt>
                <c:pt idx="53">
                  <c:v>15.9297901138721</c:v>
                </c:pt>
                <c:pt idx="54">
                  <c:v>16.2303521914923</c:v>
                </c:pt>
                <c:pt idx="55">
                  <c:v>16.5309142691125</c:v>
                </c:pt>
                <c:pt idx="56">
                  <c:v>16.8314763467328</c:v>
                </c:pt>
                <c:pt idx="57">
                  <c:v>17.132038424353</c:v>
                </c:pt>
                <c:pt idx="58">
                  <c:v>17.4326005019732</c:v>
                </c:pt>
                <c:pt idx="59">
                  <c:v>17.7331625795934</c:v>
                </c:pt>
                <c:pt idx="60">
                  <c:v>18.0337246572137</c:v>
                </c:pt>
                <c:pt idx="61">
                  <c:v>18.3342867348339</c:v>
                </c:pt>
                <c:pt idx="62">
                  <c:v>18.6348488124541</c:v>
                </c:pt>
                <c:pt idx="63">
                  <c:v>18.9354108900744</c:v>
                </c:pt>
                <c:pt idx="64">
                  <c:v>19.2359729676946</c:v>
                </c:pt>
                <c:pt idx="65">
                  <c:v>19.5365350453148</c:v>
                </c:pt>
                <c:pt idx="66">
                  <c:v>19.837097122935</c:v>
                </c:pt>
                <c:pt idx="67">
                  <c:v>20.1376592005553</c:v>
                </c:pt>
                <c:pt idx="68">
                  <c:v>20.4382212781755</c:v>
                </c:pt>
                <c:pt idx="69">
                  <c:v>20.7387833557957</c:v>
                </c:pt>
                <c:pt idx="70">
                  <c:v>21.039345433416</c:v>
                </c:pt>
                <c:pt idx="71">
                  <c:v>21.3399075110362</c:v>
                </c:pt>
                <c:pt idx="72">
                  <c:v>21.6404695886564</c:v>
                </c:pt>
                <c:pt idx="73">
                  <c:v>21.9410316662766</c:v>
                </c:pt>
                <c:pt idx="74">
                  <c:v>22.2415937438969</c:v>
                </c:pt>
                <c:pt idx="75">
                  <c:v>22.5421558215171</c:v>
                </c:pt>
                <c:pt idx="76">
                  <c:v>22.8427178991373</c:v>
                </c:pt>
                <c:pt idx="77">
                  <c:v>23.1432799767575</c:v>
                </c:pt>
                <c:pt idx="78">
                  <c:v>23.4438420543778</c:v>
                </c:pt>
                <c:pt idx="79">
                  <c:v>23.744404131998</c:v>
                </c:pt>
                <c:pt idx="80">
                  <c:v>24.0449662096182</c:v>
                </c:pt>
                <c:pt idx="81">
                  <c:v>24.3455282872385</c:v>
                </c:pt>
                <c:pt idx="82">
                  <c:v>24.6460903648587</c:v>
                </c:pt>
                <c:pt idx="83">
                  <c:v>24.9466524424789</c:v>
                </c:pt>
                <c:pt idx="84">
                  <c:v>25.2472145200991</c:v>
                </c:pt>
                <c:pt idx="85">
                  <c:v>25.5477765977194</c:v>
                </c:pt>
                <c:pt idx="86">
                  <c:v>25.8483386753396</c:v>
                </c:pt>
                <c:pt idx="87">
                  <c:v>26.1489007529598</c:v>
                </c:pt>
                <c:pt idx="88">
                  <c:v>26.44946283058</c:v>
                </c:pt>
                <c:pt idx="89">
                  <c:v>26.7500249082003</c:v>
                </c:pt>
                <c:pt idx="90">
                  <c:v>27.0505869858205</c:v>
                </c:pt>
                <c:pt idx="91">
                  <c:v>27.3511490634407</c:v>
                </c:pt>
                <c:pt idx="92">
                  <c:v>27.651711141061</c:v>
                </c:pt>
                <c:pt idx="93">
                  <c:v>27.9522732186812</c:v>
                </c:pt>
                <c:pt idx="94">
                  <c:v>28.2528352963014</c:v>
                </c:pt>
                <c:pt idx="95">
                  <c:v>28.5533973739216</c:v>
                </c:pt>
                <c:pt idx="96">
                  <c:v>28.8539594515419</c:v>
                </c:pt>
                <c:pt idx="97">
                  <c:v>29.1545215291621</c:v>
                </c:pt>
                <c:pt idx="98">
                  <c:v>29.4550836067823</c:v>
                </c:pt>
                <c:pt idx="99">
                  <c:v>29.7556456844026</c:v>
                </c:pt>
              </c:numCache>
            </c:numRef>
          </c:xVal>
          <c:yVal>
            <c:numRef>
              <c:f>'Middle finger results'!$M$3:$M$102</c:f>
              <c:numCache>
                <c:formatCode>General</c:formatCode>
                <c:ptCount val="10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45</c:v>
                </c:pt>
                <c:pt idx="7">
                  <c:v>45</c:v>
                </c:pt>
                <c:pt idx="8">
                  <c:v>45</c:v>
                </c:pt>
                <c:pt idx="9">
                  <c:v>45</c:v>
                </c:pt>
                <c:pt idx="10">
                  <c:v>45</c:v>
                </c:pt>
                <c:pt idx="11">
                  <c:v>45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45</c:v>
                </c:pt>
                <c:pt idx="17">
                  <c:v>45</c:v>
                </c:pt>
                <c:pt idx="18">
                  <c:v>45</c:v>
                </c:pt>
                <c:pt idx="19">
                  <c:v>45</c:v>
                </c:pt>
                <c:pt idx="20">
                  <c:v>45</c:v>
                </c:pt>
                <c:pt idx="21">
                  <c:v>45</c:v>
                </c:pt>
                <c:pt idx="22">
                  <c:v>45</c:v>
                </c:pt>
                <c:pt idx="23">
                  <c:v>45</c:v>
                </c:pt>
                <c:pt idx="24">
                  <c:v>45</c:v>
                </c:pt>
                <c:pt idx="25">
                  <c:v>45</c:v>
                </c:pt>
                <c:pt idx="26">
                  <c:v>45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45</c:v>
                </c:pt>
                <c:pt idx="31">
                  <c:v>45</c:v>
                </c:pt>
                <c:pt idx="32">
                  <c:v>45</c:v>
                </c:pt>
                <c:pt idx="33">
                  <c:v>45</c:v>
                </c:pt>
                <c:pt idx="34">
                  <c:v>45</c:v>
                </c:pt>
                <c:pt idx="35">
                  <c:v>45</c:v>
                </c:pt>
                <c:pt idx="36">
                  <c:v>45</c:v>
                </c:pt>
                <c:pt idx="37">
                  <c:v>45</c:v>
                </c:pt>
                <c:pt idx="38">
                  <c:v>45</c:v>
                </c:pt>
                <c:pt idx="39">
                  <c:v>45</c:v>
                </c:pt>
                <c:pt idx="40">
                  <c:v>45</c:v>
                </c:pt>
                <c:pt idx="41">
                  <c:v>45</c:v>
                </c:pt>
                <c:pt idx="42">
                  <c:v>45</c:v>
                </c:pt>
                <c:pt idx="43">
                  <c:v>45</c:v>
                </c:pt>
                <c:pt idx="44">
                  <c:v>45</c:v>
                </c:pt>
                <c:pt idx="45">
                  <c:v>45</c:v>
                </c:pt>
                <c:pt idx="46">
                  <c:v>45</c:v>
                </c:pt>
                <c:pt idx="47">
                  <c:v>45</c:v>
                </c:pt>
                <c:pt idx="48">
                  <c:v>45</c:v>
                </c:pt>
                <c:pt idx="49">
                  <c:v>45</c:v>
                </c:pt>
                <c:pt idx="50">
                  <c:v>45</c:v>
                </c:pt>
                <c:pt idx="51">
                  <c:v>45</c:v>
                </c:pt>
                <c:pt idx="52">
                  <c:v>45</c:v>
                </c:pt>
                <c:pt idx="53">
                  <c:v>45</c:v>
                </c:pt>
                <c:pt idx="54">
                  <c:v>45</c:v>
                </c:pt>
                <c:pt idx="55">
                  <c:v>45</c:v>
                </c:pt>
                <c:pt idx="56">
                  <c:v>45</c:v>
                </c:pt>
                <c:pt idx="57">
                  <c:v>45</c:v>
                </c:pt>
                <c:pt idx="58">
                  <c:v>45</c:v>
                </c:pt>
                <c:pt idx="59">
                  <c:v>45</c:v>
                </c:pt>
                <c:pt idx="60">
                  <c:v>45</c:v>
                </c:pt>
                <c:pt idx="61">
                  <c:v>45</c:v>
                </c:pt>
                <c:pt idx="62">
                  <c:v>45</c:v>
                </c:pt>
                <c:pt idx="63">
                  <c:v>45</c:v>
                </c:pt>
                <c:pt idx="64">
                  <c:v>45</c:v>
                </c:pt>
                <c:pt idx="65">
                  <c:v>45</c:v>
                </c:pt>
                <c:pt idx="66">
                  <c:v>45</c:v>
                </c:pt>
                <c:pt idx="67">
                  <c:v>45</c:v>
                </c:pt>
                <c:pt idx="68">
                  <c:v>45</c:v>
                </c:pt>
                <c:pt idx="69">
                  <c:v>45</c:v>
                </c:pt>
                <c:pt idx="70">
                  <c:v>45</c:v>
                </c:pt>
                <c:pt idx="71">
                  <c:v>45</c:v>
                </c:pt>
                <c:pt idx="72">
                  <c:v>45</c:v>
                </c:pt>
                <c:pt idx="73">
                  <c:v>45</c:v>
                </c:pt>
                <c:pt idx="74">
                  <c:v>45</c:v>
                </c:pt>
                <c:pt idx="75">
                  <c:v>45</c:v>
                </c:pt>
                <c:pt idx="76">
                  <c:v>45</c:v>
                </c:pt>
                <c:pt idx="77">
                  <c:v>45</c:v>
                </c:pt>
                <c:pt idx="78">
                  <c:v>45</c:v>
                </c:pt>
                <c:pt idx="79">
                  <c:v>45</c:v>
                </c:pt>
                <c:pt idx="80">
                  <c:v>45</c:v>
                </c:pt>
                <c:pt idx="81">
                  <c:v>45</c:v>
                </c:pt>
                <c:pt idx="82">
                  <c:v>45</c:v>
                </c:pt>
                <c:pt idx="83">
                  <c:v>45</c:v>
                </c:pt>
                <c:pt idx="84">
                  <c:v>45</c:v>
                </c:pt>
                <c:pt idx="85">
                  <c:v>45</c:v>
                </c:pt>
                <c:pt idx="86">
                  <c:v>45</c:v>
                </c:pt>
                <c:pt idx="87">
                  <c:v>45</c:v>
                </c:pt>
                <c:pt idx="88">
                  <c:v>45</c:v>
                </c:pt>
                <c:pt idx="89">
                  <c:v>45</c:v>
                </c:pt>
                <c:pt idx="90">
                  <c:v>45</c:v>
                </c:pt>
                <c:pt idx="91">
                  <c:v>45</c:v>
                </c:pt>
                <c:pt idx="92">
                  <c:v>45</c:v>
                </c:pt>
                <c:pt idx="93">
                  <c:v>45</c:v>
                </c:pt>
                <c:pt idx="94">
                  <c:v>45</c:v>
                </c:pt>
                <c:pt idx="95">
                  <c:v>45</c:v>
                </c:pt>
                <c:pt idx="96">
                  <c:v>45</c:v>
                </c:pt>
                <c:pt idx="97">
                  <c:v>45</c:v>
                </c:pt>
                <c:pt idx="98">
                  <c:v>45</c:v>
                </c:pt>
                <c:pt idx="99">
                  <c:v>45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axId val="65480664"/>
        <c:axId val="20014495"/>
      </c:scatterChart>
      <c:valAx>
        <c:axId val="65480664"/>
        <c:scaling>
          <c:orientation val="minMax"/>
          <c:max val="30"/>
        </c:scaling>
        <c:delete val="0"/>
        <c:axPos val="b"/>
        <c:majorGridlines>
          <c:spPr>
            <a:ln w="9360" cap="flat" cmpd="sng" algn="ctr">
              <a:solidFill>
                <a:srgbClr val="D9D9D9"/>
              </a:solidFill>
              <a:prstDash val="solid"/>
              <a:round/>
            </a:ln>
          </c:spPr>
        </c:majorGridlines>
        <c:minorGridlines>
          <c:spPr>
            <a:ln w="9360" cap="flat" cmpd="sng" algn="ctr">
              <a:solidFill>
                <a:srgbClr val="F2F2F2"/>
              </a:solidFill>
              <a:prstDash val="solid"/>
              <a:round/>
            </a:ln>
          </c:spPr>
        </c:minorGridlines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IN" sz="1000" b="0" i="0" u="none" strike="noStrike" kern="1200" spc="-1" baseline="0">
                    <a:solidFill>
                      <a:srgbClr val="595959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lang="en-IN" sz="1000" b="0" strike="noStrike" spc="-1">
                    <a:solidFill>
                      <a:srgbClr val="595959"/>
                    </a:solidFill>
                    <a:latin typeface="Calibri" panose="020F0502020204030204"/>
                  </a:rPr>
                  <a:t>Actuator displacement (mm)</a:t>
                </a:r>
                <a:endParaRPr lang="en-IN" sz="1000" b="0" strike="noStrike" spc="-1">
                  <a:solidFill>
                    <a:srgbClr val="595959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BFBFB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spc="-1" baseline="0">
                <a:solidFill>
                  <a:srgbClr val="595959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20014495"/>
        <c:crosses val="autoZero"/>
        <c:crossBetween val="midCat"/>
      </c:valAx>
      <c:valAx>
        <c:axId val="20014495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D9D9D9"/>
              </a:solidFill>
              <a:prstDash val="solid"/>
              <a:round/>
            </a:ln>
          </c:spPr>
        </c:majorGridlines>
        <c:minorGridlines>
          <c:spPr>
            <a:ln w="9360" cap="flat" cmpd="sng" algn="ctr">
              <a:solidFill>
                <a:srgbClr val="F2F2F2"/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IN" sz="1000" b="0" i="0" u="none" strike="noStrike" kern="1200" spc="-1" baseline="0">
                    <a:solidFill>
                      <a:srgbClr val="595959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lang="en-IN" sz="1000" b="0" strike="noStrike" spc="-1">
                    <a:solidFill>
                      <a:srgbClr val="595959"/>
                    </a:solidFill>
                    <a:latin typeface="Calibri" panose="020F0502020204030204"/>
                  </a:rPr>
                  <a:t>Magnitude of angular displacement (deg)</a:t>
                </a:r>
                <a:endParaRPr lang="en-IN" sz="1000" b="0" strike="noStrike" spc="-1">
                  <a:solidFill>
                    <a:srgbClr val="595959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BFBFB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spc="-1" baseline="0">
                <a:solidFill>
                  <a:srgbClr val="595959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65480664"/>
        <c:crosses val="autoZero"/>
        <c:crossBetween val="midCat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spc="-1" baseline="0">
              <a:solidFill>
                <a:srgbClr val="595959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IN" sz="1400" b="0" i="0" u="none" strike="noStrike" kern="1200" spc="-1" baseline="0">
                <a:solidFill>
                  <a:srgbClr val="595959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lang="en-IN" sz="1400" b="0" strike="noStrike" spc="-1">
                <a:solidFill>
                  <a:srgbClr val="595959"/>
                </a:solidFill>
                <a:latin typeface="Calibri" panose="020F0502020204030204"/>
              </a:rPr>
              <a:t>Middle finger</a:t>
            </a:r>
            <a:endParaRPr lang="en-IN" sz="1400" b="0" strike="noStrike" spc="-1">
              <a:solidFill>
                <a:srgbClr val="595959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scatterChart>
        <c:scatterStyle val="line"/>
        <c:varyColors val="0"/>
        <c:ser>
          <c:idx val="0"/>
          <c:order val="0"/>
          <c:spPr>
            <a:ln w="19080" cap="rnd" cmpd="sng" algn="ctr">
              <a:solidFill>
                <a:srgbClr val="5B9BD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xVal>
            <c:numRef>
              <c:f>'Middle finger results'!$H$4:$H$102</c:f>
              <c:numCache>
                <c:formatCode>General</c:formatCode>
                <c:ptCount val="99"/>
                <c:pt idx="0">
                  <c:v>0.300562077620227</c:v>
                </c:pt>
                <c:pt idx="1">
                  <c:v>0.601124155240454</c:v>
                </c:pt>
                <c:pt idx="2">
                  <c:v>0.901686232860681</c:v>
                </c:pt>
                <c:pt idx="3">
                  <c:v>1.20224831048091</c:v>
                </c:pt>
                <c:pt idx="4">
                  <c:v>1.50281038810114</c:v>
                </c:pt>
                <c:pt idx="5">
                  <c:v>1.80337246572137</c:v>
                </c:pt>
                <c:pt idx="6">
                  <c:v>2.1039345433416</c:v>
                </c:pt>
                <c:pt idx="7">
                  <c:v>2.40449662096182</c:v>
                </c:pt>
                <c:pt idx="8">
                  <c:v>2.70505869858205</c:v>
                </c:pt>
                <c:pt idx="9">
                  <c:v>3.00562077620228</c:v>
                </c:pt>
                <c:pt idx="10">
                  <c:v>3.30618285382251</c:v>
                </c:pt>
                <c:pt idx="11">
                  <c:v>3.60674493144273</c:v>
                </c:pt>
                <c:pt idx="12">
                  <c:v>3.90730700906296</c:v>
                </c:pt>
                <c:pt idx="13">
                  <c:v>4.20786908668319</c:v>
                </c:pt>
                <c:pt idx="14">
                  <c:v>4.50843116430342</c:v>
                </c:pt>
                <c:pt idx="15">
                  <c:v>4.80899324192365</c:v>
                </c:pt>
                <c:pt idx="16">
                  <c:v>5.10955531954387</c:v>
                </c:pt>
                <c:pt idx="17">
                  <c:v>5.4101173971641</c:v>
                </c:pt>
                <c:pt idx="18">
                  <c:v>5.71067947478433</c:v>
                </c:pt>
                <c:pt idx="19">
                  <c:v>6.01124155240456</c:v>
                </c:pt>
                <c:pt idx="20">
                  <c:v>6.31180363002478</c:v>
                </c:pt>
                <c:pt idx="21">
                  <c:v>6.61236570764501</c:v>
                </c:pt>
                <c:pt idx="22">
                  <c:v>6.91292778526524</c:v>
                </c:pt>
                <c:pt idx="23">
                  <c:v>7.21348986288547</c:v>
                </c:pt>
                <c:pt idx="24">
                  <c:v>7.5140519405057</c:v>
                </c:pt>
                <c:pt idx="25">
                  <c:v>7.81461401812592</c:v>
                </c:pt>
                <c:pt idx="26">
                  <c:v>8.11517609574615</c:v>
                </c:pt>
                <c:pt idx="27">
                  <c:v>8.41573817336638</c:v>
                </c:pt>
                <c:pt idx="28">
                  <c:v>8.71630025098661</c:v>
                </c:pt>
                <c:pt idx="29">
                  <c:v>9.01686232860684</c:v>
                </c:pt>
                <c:pt idx="30">
                  <c:v>9.31742440622706</c:v>
                </c:pt>
                <c:pt idx="31">
                  <c:v>9.61798648384729</c:v>
                </c:pt>
                <c:pt idx="32">
                  <c:v>9.91854856146752</c:v>
                </c:pt>
                <c:pt idx="33">
                  <c:v>10.2191106390877</c:v>
                </c:pt>
                <c:pt idx="34">
                  <c:v>10.519672716708</c:v>
                </c:pt>
                <c:pt idx="35">
                  <c:v>10.8202347943282</c:v>
                </c:pt>
                <c:pt idx="36">
                  <c:v>11.1207968719484</c:v>
                </c:pt>
                <c:pt idx="37">
                  <c:v>11.4213589495687</c:v>
                </c:pt>
                <c:pt idx="38">
                  <c:v>11.7219210271889</c:v>
                </c:pt>
                <c:pt idx="39">
                  <c:v>12.0224831048091</c:v>
                </c:pt>
                <c:pt idx="40">
                  <c:v>12.3230451824293</c:v>
                </c:pt>
                <c:pt idx="41">
                  <c:v>12.6236072600496</c:v>
                </c:pt>
                <c:pt idx="42">
                  <c:v>12.9241693376698</c:v>
                </c:pt>
                <c:pt idx="43">
                  <c:v>13.22473141529</c:v>
                </c:pt>
                <c:pt idx="44">
                  <c:v>13.5252934929102</c:v>
                </c:pt>
                <c:pt idx="45">
                  <c:v>13.8258555705305</c:v>
                </c:pt>
                <c:pt idx="46">
                  <c:v>14.1264176481507</c:v>
                </c:pt>
                <c:pt idx="47">
                  <c:v>14.4269797257709</c:v>
                </c:pt>
                <c:pt idx="48">
                  <c:v>14.7275418033912</c:v>
                </c:pt>
                <c:pt idx="49">
                  <c:v>15.0281038810114</c:v>
                </c:pt>
                <c:pt idx="50">
                  <c:v>15.3286659586316</c:v>
                </c:pt>
                <c:pt idx="51">
                  <c:v>15.6292280362518</c:v>
                </c:pt>
                <c:pt idx="52">
                  <c:v>15.9297901138721</c:v>
                </c:pt>
                <c:pt idx="53">
                  <c:v>16.2303521914923</c:v>
                </c:pt>
                <c:pt idx="54">
                  <c:v>16.5309142691125</c:v>
                </c:pt>
                <c:pt idx="55">
                  <c:v>16.8314763467328</c:v>
                </c:pt>
                <c:pt idx="56">
                  <c:v>17.132038424353</c:v>
                </c:pt>
                <c:pt idx="57">
                  <c:v>17.4326005019732</c:v>
                </c:pt>
                <c:pt idx="58">
                  <c:v>17.7331625795934</c:v>
                </c:pt>
                <c:pt idx="59">
                  <c:v>18.0337246572137</c:v>
                </c:pt>
                <c:pt idx="60">
                  <c:v>18.3342867348339</c:v>
                </c:pt>
                <c:pt idx="61">
                  <c:v>18.6348488124541</c:v>
                </c:pt>
                <c:pt idx="62">
                  <c:v>18.9354108900744</c:v>
                </c:pt>
                <c:pt idx="63">
                  <c:v>19.2359729676946</c:v>
                </c:pt>
                <c:pt idx="64">
                  <c:v>19.5365350453148</c:v>
                </c:pt>
                <c:pt idx="65">
                  <c:v>19.837097122935</c:v>
                </c:pt>
                <c:pt idx="66">
                  <c:v>20.1376592005553</c:v>
                </c:pt>
                <c:pt idx="67">
                  <c:v>20.4382212781755</c:v>
                </c:pt>
                <c:pt idx="68">
                  <c:v>20.7387833557957</c:v>
                </c:pt>
                <c:pt idx="69">
                  <c:v>21.039345433416</c:v>
                </c:pt>
                <c:pt idx="70">
                  <c:v>21.3399075110362</c:v>
                </c:pt>
                <c:pt idx="71">
                  <c:v>21.6404695886564</c:v>
                </c:pt>
                <c:pt idx="72">
                  <c:v>21.9410316662766</c:v>
                </c:pt>
                <c:pt idx="73">
                  <c:v>22.2415937438969</c:v>
                </c:pt>
                <c:pt idx="74">
                  <c:v>22.5421558215171</c:v>
                </c:pt>
                <c:pt idx="75">
                  <c:v>22.8427178991373</c:v>
                </c:pt>
                <c:pt idx="76">
                  <c:v>23.1432799767575</c:v>
                </c:pt>
                <c:pt idx="77">
                  <c:v>23.4438420543778</c:v>
                </c:pt>
                <c:pt idx="78">
                  <c:v>23.744404131998</c:v>
                </c:pt>
                <c:pt idx="79">
                  <c:v>24.0449662096182</c:v>
                </c:pt>
                <c:pt idx="80">
                  <c:v>24.3455282872385</c:v>
                </c:pt>
                <c:pt idx="81">
                  <c:v>24.6460903648587</c:v>
                </c:pt>
                <c:pt idx="82">
                  <c:v>24.9466524424789</c:v>
                </c:pt>
                <c:pt idx="83">
                  <c:v>25.2472145200991</c:v>
                </c:pt>
                <c:pt idx="84">
                  <c:v>25.5477765977194</c:v>
                </c:pt>
                <c:pt idx="85">
                  <c:v>25.8483386753396</c:v>
                </c:pt>
                <c:pt idx="86">
                  <c:v>26.1489007529598</c:v>
                </c:pt>
                <c:pt idx="87">
                  <c:v>26.44946283058</c:v>
                </c:pt>
                <c:pt idx="88">
                  <c:v>26.7500249082003</c:v>
                </c:pt>
                <c:pt idx="89">
                  <c:v>27.0505869858205</c:v>
                </c:pt>
                <c:pt idx="90">
                  <c:v>27.3511490634407</c:v>
                </c:pt>
                <c:pt idx="91">
                  <c:v>27.651711141061</c:v>
                </c:pt>
                <c:pt idx="92">
                  <c:v>27.9522732186812</c:v>
                </c:pt>
                <c:pt idx="93">
                  <c:v>28.2528352963014</c:v>
                </c:pt>
                <c:pt idx="94">
                  <c:v>28.5533973739216</c:v>
                </c:pt>
                <c:pt idx="95">
                  <c:v>28.8539594515419</c:v>
                </c:pt>
                <c:pt idx="96">
                  <c:v>29.1545215291621</c:v>
                </c:pt>
                <c:pt idx="97">
                  <c:v>29.4550836067823</c:v>
                </c:pt>
                <c:pt idx="98">
                  <c:v>29.7556456844026</c:v>
                </c:pt>
              </c:numCache>
            </c:numRef>
          </c:xVal>
          <c:yVal>
            <c:numRef>
              <c:f>'Middle finger results'!$Q$4:$Q$102</c:f>
              <c:numCache>
                <c:formatCode>General</c:formatCode>
                <c:ptCount val="99"/>
                <c:pt idx="0">
                  <c:v>1.90756181601002</c:v>
                </c:pt>
                <c:pt idx="1">
                  <c:v>1.89876429497198</c:v>
                </c:pt>
                <c:pt idx="2">
                  <c:v>1.76575905537813</c:v>
                </c:pt>
                <c:pt idx="3">
                  <c:v>1.76575905537812</c:v>
                </c:pt>
                <c:pt idx="4">
                  <c:v>1.6683666842056</c:v>
                </c:pt>
                <c:pt idx="5">
                  <c:v>1.66519379431057</c:v>
                </c:pt>
                <c:pt idx="6">
                  <c:v>1.6130497639639</c:v>
                </c:pt>
                <c:pt idx="7">
                  <c:v>1.59552174529535</c:v>
                </c:pt>
                <c:pt idx="8">
                  <c:v>1.57579267306805</c:v>
                </c:pt>
                <c:pt idx="9">
                  <c:v>1.54979439847946</c:v>
                </c:pt>
                <c:pt idx="10">
                  <c:v>1.54856650872812</c:v>
                </c:pt>
                <c:pt idx="11">
                  <c:v>1.52316832701316</c:v>
                </c:pt>
                <c:pt idx="12">
                  <c:v>1.52316832701314</c:v>
                </c:pt>
                <c:pt idx="13">
                  <c:v>1.51635473218084</c:v>
                </c:pt>
                <c:pt idx="14">
                  <c:v>1.51216240835746</c:v>
                </c:pt>
                <c:pt idx="15">
                  <c:v>1.51251932768221</c:v>
                </c:pt>
                <c:pt idx="16">
                  <c:v>1.51420909827875</c:v>
                </c:pt>
                <c:pt idx="17">
                  <c:v>1.51420909827873</c:v>
                </c:pt>
                <c:pt idx="18">
                  <c:v>1.52385751949787</c:v>
                </c:pt>
                <c:pt idx="19">
                  <c:v>1.5273720748171</c:v>
                </c:pt>
                <c:pt idx="20">
                  <c:v>1.53449735034771</c:v>
                </c:pt>
                <c:pt idx="21">
                  <c:v>1.55016235898896</c:v>
                </c:pt>
                <c:pt idx="22">
                  <c:v>1.55016235898896</c:v>
                </c:pt>
                <c:pt idx="23">
                  <c:v>1.57916102816077</c:v>
                </c:pt>
                <c:pt idx="24">
                  <c:v>1.58141505369907</c:v>
                </c:pt>
                <c:pt idx="25">
                  <c:v>1.6043101901401</c:v>
                </c:pt>
                <c:pt idx="26">
                  <c:v>1.62020469368629</c:v>
                </c:pt>
                <c:pt idx="27">
                  <c:v>1.63426948373989</c:v>
                </c:pt>
                <c:pt idx="28">
                  <c:v>1.66578593039976</c:v>
                </c:pt>
                <c:pt idx="29">
                  <c:v>1.67040992822179</c:v>
                </c:pt>
                <c:pt idx="30">
                  <c:v>1.71755127045066</c:v>
                </c:pt>
                <c:pt idx="31">
                  <c:v>1.71755127045061</c:v>
                </c:pt>
                <c:pt idx="32">
                  <c:v>1.77137966797765</c:v>
                </c:pt>
                <c:pt idx="33">
                  <c:v>1.77500054290941</c:v>
                </c:pt>
                <c:pt idx="34">
                  <c:v>1.82857941566406</c:v>
                </c:pt>
                <c:pt idx="35">
                  <c:v>1.83771857624188</c:v>
                </c:pt>
                <c:pt idx="36">
                  <c:v>1.89471683785144</c:v>
                </c:pt>
                <c:pt idx="37">
                  <c:v>1.90535869996701</c:v>
                </c:pt>
                <c:pt idx="38">
                  <c:v>1.97058169337027</c:v>
                </c:pt>
                <c:pt idx="39">
                  <c:v>1.98017342579217</c:v>
                </c:pt>
                <c:pt idx="40">
                  <c:v>2.05429007706958</c:v>
                </c:pt>
                <c:pt idx="41">
                  <c:v>2.07317778031429</c:v>
                </c:pt>
                <c:pt idx="42">
                  <c:v>2.13513369958208</c:v>
                </c:pt>
                <c:pt idx="43">
                  <c:v>2.17775168960574</c:v>
                </c:pt>
                <c:pt idx="44">
                  <c:v>2.21999133202078</c:v>
                </c:pt>
                <c:pt idx="45">
                  <c:v>2.29425998048472</c:v>
                </c:pt>
                <c:pt idx="46">
                  <c:v>2.33053021569021</c:v>
                </c:pt>
                <c:pt idx="47">
                  <c:v>2.40121218589618</c:v>
                </c:pt>
                <c:pt idx="48">
                  <c:v>2.46815944026299</c:v>
                </c:pt>
                <c:pt idx="49">
                  <c:v>2.51891015614745</c:v>
                </c:pt>
                <c:pt idx="50">
                  <c:v>2.59711524134753</c:v>
                </c:pt>
                <c:pt idx="51">
                  <c:v>2.67897136921869</c:v>
                </c:pt>
                <c:pt idx="52">
                  <c:v>2.74562237262218</c:v>
                </c:pt>
                <c:pt idx="53">
                  <c:v>2.81892490105164</c:v>
                </c:pt>
                <c:pt idx="54">
                  <c:v>2.91739089739832</c:v>
                </c:pt>
                <c:pt idx="55">
                  <c:v>3.01279987164737</c:v>
                </c:pt>
                <c:pt idx="56">
                  <c:v>3.10359112452218</c:v>
                </c:pt>
                <c:pt idx="57">
                  <c:v>3.20173608109839</c:v>
                </c:pt>
                <c:pt idx="58">
                  <c:v>3.30742046177185</c:v>
                </c:pt>
                <c:pt idx="59">
                  <c:v>3.42080158326387</c:v>
                </c:pt>
                <c:pt idx="60">
                  <c:v>3.54200570169386</c:v>
                </c:pt>
                <c:pt idx="61">
                  <c:v>3.67112338575059</c:v>
                </c:pt>
                <c:pt idx="62">
                  <c:v>3.808203358194</c:v>
                </c:pt>
                <c:pt idx="63">
                  <c:v>3.95324528249317</c:v>
                </c:pt>
                <c:pt idx="64">
                  <c:v>4.10619196515847</c:v>
                </c:pt>
                <c:pt idx="65">
                  <c:v>4.26692137876215</c:v>
                </c:pt>
                <c:pt idx="66">
                  <c:v>4.4352387782608</c:v>
                </c:pt>
                <c:pt idx="67">
                  <c:v>4.61086898851628</c:v>
                </c:pt>
                <c:pt idx="68">
                  <c:v>4.82586075895997</c:v>
                </c:pt>
                <c:pt idx="69">
                  <c:v>5.02216819430701</c:v>
                </c:pt>
                <c:pt idx="70">
                  <c:v>5.22709925486694</c:v>
                </c:pt>
                <c:pt idx="71">
                  <c:v>5.47525347872124</c:v>
                </c:pt>
                <c:pt idx="72">
                  <c:v>5.6934665900792</c:v>
                </c:pt>
                <c:pt idx="73">
                  <c:v>5.9568450266052</c:v>
                </c:pt>
                <c:pt idx="74">
                  <c:v>6.20380989759762</c:v>
                </c:pt>
                <c:pt idx="75">
                  <c:v>6.45485734414426</c:v>
                </c:pt>
                <c:pt idx="76">
                  <c:v>6.71553058082711</c:v>
                </c:pt>
                <c:pt idx="77">
                  <c:v>6.96833525168829</c:v>
                </c:pt>
                <c:pt idx="78">
                  <c:v>7.20144857065638</c:v>
                </c:pt>
                <c:pt idx="79">
                  <c:v>7.41617471977045</c:v>
                </c:pt>
                <c:pt idx="80">
                  <c:v>7.60645764592648</c:v>
                </c:pt>
                <c:pt idx="81">
                  <c:v>7.76836216514987</c:v>
                </c:pt>
                <c:pt idx="82">
                  <c:v>7.90140287102008</c:v>
                </c:pt>
                <c:pt idx="83">
                  <c:v>8.003223171915</c:v>
                </c:pt>
                <c:pt idx="84">
                  <c:v>8.07247120625487</c:v>
                </c:pt>
                <c:pt idx="85">
                  <c:v>8.11219506593604</c:v>
                </c:pt>
                <c:pt idx="86">
                  <c:v>8.1229785353291</c:v>
                </c:pt>
                <c:pt idx="87">
                  <c:v>8.10485039923877</c:v>
                </c:pt>
                <c:pt idx="88">
                  <c:v>8.05428480097417</c:v>
                </c:pt>
                <c:pt idx="89">
                  <c:v>7.97371239772072</c:v>
                </c:pt>
                <c:pt idx="90">
                  <c:v>7.86050715145152</c:v>
                </c:pt>
                <c:pt idx="91">
                  <c:v>7.71212169649389</c:v>
                </c:pt>
                <c:pt idx="92">
                  <c:v>7.52542862513471</c:v>
                </c:pt>
                <c:pt idx="93">
                  <c:v>7.29664886534311</c:v>
                </c:pt>
                <c:pt idx="94">
                  <c:v>7.0215575838372</c:v>
                </c:pt>
                <c:pt idx="95">
                  <c:v>6.69685587364353</c:v>
                </c:pt>
                <c:pt idx="96">
                  <c:v>6.32144625756442</c:v>
                </c:pt>
                <c:pt idx="97">
                  <c:v>5.82981958864809</c:v>
                </c:pt>
                <c:pt idx="98">
                  <c:v>5.35406427927986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axId val="84336046"/>
        <c:axId val="50920268"/>
      </c:scatterChart>
      <c:valAx>
        <c:axId val="84336046"/>
        <c:scaling>
          <c:orientation val="minMax"/>
          <c:max val="30"/>
        </c:scaling>
        <c:delete val="0"/>
        <c:axPos val="b"/>
        <c:majorGridlines>
          <c:spPr>
            <a:ln w="9360" cap="flat" cmpd="sng" algn="ctr">
              <a:solidFill>
                <a:srgbClr val="D9D9D9"/>
              </a:solidFill>
              <a:prstDash val="solid"/>
              <a:round/>
            </a:ln>
          </c:spPr>
        </c:majorGridlines>
        <c:minorGridlines>
          <c:spPr>
            <a:ln w="9360" cap="flat" cmpd="sng" algn="ctr">
              <a:solidFill>
                <a:srgbClr val="F2F2F2"/>
              </a:solidFill>
              <a:prstDash val="solid"/>
              <a:round/>
            </a:ln>
          </c:spPr>
        </c:minorGridlines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IN" sz="1000" b="0" i="0" u="none" strike="noStrike" kern="1200" spc="-1" baseline="0">
                    <a:solidFill>
                      <a:srgbClr val="595959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lang="en-IN" sz="1000" b="0" strike="noStrike" spc="-1">
                    <a:solidFill>
                      <a:srgbClr val="595959"/>
                    </a:solidFill>
                    <a:latin typeface="Calibri" panose="020F0502020204030204"/>
                  </a:rPr>
                  <a:t>Actuator displacement (mm)</a:t>
                </a:r>
                <a:endParaRPr lang="en-IN" sz="1000" b="0" strike="noStrike" spc="-1">
                  <a:solidFill>
                    <a:srgbClr val="595959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BFBFB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spc="-1" baseline="0">
                <a:solidFill>
                  <a:srgbClr val="595959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50920268"/>
        <c:crosses val="autoZero"/>
        <c:crossBetween val="midCat"/>
      </c:valAx>
      <c:valAx>
        <c:axId val="50920268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D9D9D9"/>
              </a:solidFill>
              <a:prstDash val="solid"/>
              <a:round/>
            </a:ln>
          </c:spPr>
        </c:majorGridlines>
        <c:minorGridlines>
          <c:spPr>
            <a:ln w="9360" cap="flat" cmpd="sng" algn="ctr">
              <a:solidFill>
                <a:srgbClr val="F2F2F2"/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rgbClr val="595959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lang="en-US" sz="1000" b="0" strike="noStrike" spc="-1">
                    <a:solidFill>
                      <a:srgbClr val="595959"/>
                    </a:solidFill>
                    <a:latin typeface="Calibri" panose="020F0502020204030204"/>
                  </a:rPr>
                  <a:t>∂(theta1)/∂x</a:t>
                </a:r>
                <a:endParaRPr lang="en-US" sz="1000" b="0" strike="noStrike" spc="-1">
                  <a:solidFill>
                    <a:srgbClr val="595959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BFBFB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spc="-1" baseline="0">
                <a:solidFill>
                  <a:srgbClr val="595959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8433604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0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IN" sz="1400" b="0" i="0" u="none" strike="noStrike" kern="1200" spc="-1" baseline="0">
                <a:solidFill>
                  <a:srgbClr val="595959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lang="en-IN" sz="1400" b="0" strike="noStrike" spc="-1">
                <a:solidFill>
                  <a:srgbClr val="595959"/>
                </a:solidFill>
                <a:latin typeface="Calibri" panose="020F0502020204030204"/>
              </a:rPr>
              <a:t>Allowed angular deflections after length optimization</a:t>
            </a:r>
            <a:endParaRPr lang="en-IN" sz="1400" b="0" strike="noStrike" spc="-1">
              <a:solidFill>
                <a:srgbClr val="595959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scatterChart>
        <c:scatterStyle val="line"/>
        <c:varyColors val="0"/>
        <c:ser>
          <c:idx val="0"/>
          <c:order val="0"/>
          <c:tx>
            <c:strRef>
              <c:f>'Little finger results'!$I$2</c:f>
              <c:strCache>
                <c:ptCount val="1"/>
                <c:pt idx="0">
                  <c:v>Theta0</c:v>
                </c:pt>
              </c:strCache>
            </c:strRef>
          </c:tx>
          <c:spPr>
            <a:ln w="19080" cap="rnd" cmpd="sng" algn="ctr">
              <a:solidFill>
                <a:srgbClr val="5B9BD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xVal>
            <c:numRef>
              <c:f>'Little finger results'!$H$3:$H$102</c:f>
              <c:numCache>
                <c:formatCode>General</c:formatCode>
                <c:ptCount val="100"/>
                <c:pt idx="0">
                  <c:v>0</c:v>
                </c:pt>
                <c:pt idx="1">
                  <c:v>0.324931448862147</c:v>
                </c:pt>
                <c:pt idx="2">
                  <c:v>0.649862897724295</c:v>
                </c:pt>
                <c:pt idx="3">
                  <c:v>0.974794346586435</c:v>
                </c:pt>
                <c:pt idx="4">
                  <c:v>1.29972579544858</c:v>
                </c:pt>
                <c:pt idx="5">
                  <c:v>1.62465724431073</c:v>
                </c:pt>
                <c:pt idx="6">
                  <c:v>1.94958869317288</c:v>
                </c:pt>
                <c:pt idx="7">
                  <c:v>2.27452014203502</c:v>
                </c:pt>
                <c:pt idx="8">
                  <c:v>2.59945159089716</c:v>
                </c:pt>
                <c:pt idx="9">
                  <c:v>2.92438303975931</c:v>
                </c:pt>
                <c:pt idx="10">
                  <c:v>3.24931448862146</c:v>
                </c:pt>
                <c:pt idx="11">
                  <c:v>3.57424593748361</c:v>
                </c:pt>
                <c:pt idx="12">
                  <c:v>3.89917738634575</c:v>
                </c:pt>
                <c:pt idx="13">
                  <c:v>4.22410883520789</c:v>
                </c:pt>
                <c:pt idx="14">
                  <c:v>4.54904028407004</c:v>
                </c:pt>
                <c:pt idx="15">
                  <c:v>4.87397173293219</c:v>
                </c:pt>
                <c:pt idx="16">
                  <c:v>5.19890318179434</c:v>
                </c:pt>
                <c:pt idx="17">
                  <c:v>5.52383463065647</c:v>
                </c:pt>
                <c:pt idx="18">
                  <c:v>5.84876607951862</c:v>
                </c:pt>
                <c:pt idx="19">
                  <c:v>6.17369752838077</c:v>
                </c:pt>
                <c:pt idx="20">
                  <c:v>6.49862897724292</c:v>
                </c:pt>
                <c:pt idx="21">
                  <c:v>6.82356042610507</c:v>
                </c:pt>
                <c:pt idx="22">
                  <c:v>7.1484918749672</c:v>
                </c:pt>
                <c:pt idx="23">
                  <c:v>7.47342332382935</c:v>
                </c:pt>
                <c:pt idx="24">
                  <c:v>7.7983547726915</c:v>
                </c:pt>
                <c:pt idx="25">
                  <c:v>8.12328622155365</c:v>
                </c:pt>
                <c:pt idx="26">
                  <c:v>8.44821767041579</c:v>
                </c:pt>
                <c:pt idx="27">
                  <c:v>8.77314911927794</c:v>
                </c:pt>
                <c:pt idx="28">
                  <c:v>9.09808056814008</c:v>
                </c:pt>
                <c:pt idx="29">
                  <c:v>9.42301201700223</c:v>
                </c:pt>
                <c:pt idx="30">
                  <c:v>9.74794346586437</c:v>
                </c:pt>
                <c:pt idx="31">
                  <c:v>10.0728749147265</c:v>
                </c:pt>
                <c:pt idx="32">
                  <c:v>10.3978063635887</c:v>
                </c:pt>
                <c:pt idx="33">
                  <c:v>10.7227378124508</c:v>
                </c:pt>
                <c:pt idx="34">
                  <c:v>11.047669261313</c:v>
                </c:pt>
                <c:pt idx="35">
                  <c:v>11.3726007101751</c:v>
                </c:pt>
                <c:pt idx="36">
                  <c:v>11.6975321590373</c:v>
                </c:pt>
                <c:pt idx="37">
                  <c:v>12.0224636078994</c:v>
                </c:pt>
                <c:pt idx="38">
                  <c:v>12.3473950567615</c:v>
                </c:pt>
                <c:pt idx="39">
                  <c:v>12.6723265056237</c:v>
                </c:pt>
                <c:pt idx="40">
                  <c:v>12.9972579544858</c:v>
                </c:pt>
                <c:pt idx="41">
                  <c:v>13.322189403348</c:v>
                </c:pt>
                <c:pt idx="42">
                  <c:v>13.6471208522101</c:v>
                </c:pt>
                <c:pt idx="43">
                  <c:v>13.9720523010723</c:v>
                </c:pt>
                <c:pt idx="44">
                  <c:v>14.2969837499344</c:v>
                </c:pt>
                <c:pt idx="45">
                  <c:v>14.6219151987966</c:v>
                </c:pt>
                <c:pt idx="46">
                  <c:v>14.9468466476587</c:v>
                </c:pt>
                <c:pt idx="47">
                  <c:v>15.2717780965209</c:v>
                </c:pt>
                <c:pt idx="48">
                  <c:v>15.596709545383</c:v>
                </c:pt>
                <c:pt idx="49">
                  <c:v>15.9216409942451</c:v>
                </c:pt>
                <c:pt idx="50">
                  <c:v>16.2465724431073</c:v>
                </c:pt>
                <c:pt idx="51">
                  <c:v>16.5715038919694</c:v>
                </c:pt>
                <c:pt idx="52">
                  <c:v>16.8964353408316</c:v>
                </c:pt>
                <c:pt idx="53">
                  <c:v>17.2213667896937</c:v>
                </c:pt>
                <c:pt idx="54">
                  <c:v>17.5462982385559</c:v>
                </c:pt>
                <c:pt idx="55">
                  <c:v>17.871229687418</c:v>
                </c:pt>
                <c:pt idx="56">
                  <c:v>18.1961611362802</c:v>
                </c:pt>
                <c:pt idx="57">
                  <c:v>18.5210925851423</c:v>
                </c:pt>
                <c:pt idx="58">
                  <c:v>18.8460240340045</c:v>
                </c:pt>
                <c:pt idx="59">
                  <c:v>19.1709554828666</c:v>
                </c:pt>
                <c:pt idx="60">
                  <c:v>19.4958869317287</c:v>
                </c:pt>
                <c:pt idx="61">
                  <c:v>19.8208183805909</c:v>
                </c:pt>
                <c:pt idx="62">
                  <c:v>20.145749829453</c:v>
                </c:pt>
                <c:pt idx="63">
                  <c:v>20.4706812783152</c:v>
                </c:pt>
                <c:pt idx="64">
                  <c:v>20.7956127271773</c:v>
                </c:pt>
                <c:pt idx="65">
                  <c:v>21.1205441760395</c:v>
                </c:pt>
                <c:pt idx="66">
                  <c:v>21.4454756249016</c:v>
                </c:pt>
                <c:pt idx="67">
                  <c:v>21.7704070737638</c:v>
                </c:pt>
                <c:pt idx="68">
                  <c:v>22.0953385226259</c:v>
                </c:pt>
                <c:pt idx="69">
                  <c:v>22.4202699714881</c:v>
                </c:pt>
                <c:pt idx="70">
                  <c:v>22.7452014203502</c:v>
                </c:pt>
                <c:pt idx="71">
                  <c:v>23.0701328692123</c:v>
                </c:pt>
                <c:pt idx="72">
                  <c:v>23.3950643180745</c:v>
                </c:pt>
                <c:pt idx="73">
                  <c:v>23.7199957669366</c:v>
                </c:pt>
                <c:pt idx="74">
                  <c:v>24.0449272157988</c:v>
                </c:pt>
                <c:pt idx="75">
                  <c:v>24.3698586646609</c:v>
                </c:pt>
                <c:pt idx="76">
                  <c:v>24.6947901135231</c:v>
                </c:pt>
                <c:pt idx="77">
                  <c:v>25.0197215623852</c:v>
                </c:pt>
                <c:pt idx="78">
                  <c:v>25.3446530112474</c:v>
                </c:pt>
                <c:pt idx="79">
                  <c:v>25.6695844601095</c:v>
                </c:pt>
                <c:pt idx="80">
                  <c:v>25.9945159089717</c:v>
                </c:pt>
                <c:pt idx="81">
                  <c:v>26.3194473578338</c:v>
                </c:pt>
                <c:pt idx="82">
                  <c:v>26.644378806696</c:v>
                </c:pt>
                <c:pt idx="83">
                  <c:v>26.9693102555581</c:v>
                </c:pt>
                <c:pt idx="84">
                  <c:v>27.2942417044202</c:v>
                </c:pt>
                <c:pt idx="85">
                  <c:v>27.6191731532824</c:v>
                </c:pt>
                <c:pt idx="86">
                  <c:v>27.9441046021445</c:v>
                </c:pt>
                <c:pt idx="87">
                  <c:v>28.2690360510067</c:v>
                </c:pt>
                <c:pt idx="88">
                  <c:v>28.5939674998688</c:v>
                </c:pt>
                <c:pt idx="89">
                  <c:v>28.918898948731</c:v>
                </c:pt>
                <c:pt idx="90">
                  <c:v>29.2438303975931</c:v>
                </c:pt>
                <c:pt idx="91">
                  <c:v>29.5687618464553</c:v>
                </c:pt>
                <c:pt idx="92">
                  <c:v>29.8936932953174</c:v>
                </c:pt>
                <c:pt idx="93">
                  <c:v>30.2186247441796</c:v>
                </c:pt>
                <c:pt idx="94">
                  <c:v>30.5435561930417</c:v>
                </c:pt>
                <c:pt idx="95">
                  <c:v>30.8684876419038</c:v>
                </c:pt>
                <c:pt idx="96">
                  <c:v>31.193419090766</c:v>
                </c:pt>
                <c:pt idx="97">
                  <c:v>31.5183505396281</c:v>
                </c:pt>
                <c:pt idx="98">
                  <c:v>31.8432819884903</c:v>
                </c:pt>
                <c:pt idx="99">
                  <c:v>32.1682134373524</c:v>
                </c:pt>
              </c:numCache>
            </c:numRef>
          </c:xVal>
          <c:yVal>
            <c:numRef>
              <c:f>'Little finger results'!$I$3:$I$102</c:f>
              <c:numCache>
                <c:formatCode>General</c:formatCode>
                <c:ptCount val="100"/>
                <c:pt idx="0">
                  <c:v>0</c:v>
                </c:pt>
                <c:pt idx="1">
                  <c:v>1.24114671005813</c:v>
                </c:pt>
                <c:pt idx="2">
                  <c:v>2.48229342011626</c:v>
                </c:pt>
                <c:pt idx="3">
                  <c:v>3.72344013017437</c:v>
                </c:pt>
                <c:pt idx="4">
                  <c:v>4.9645868402325</c:v>
                </c:pt>
                <c:pt idx="5">
                  <c:v>6.20573355029063</c:v>
                </c:pt>
                <c:pt idx="6">
                  <c:v>7.44688026034876</c:v>
                </c:pt>
                <c:pt idx="7">
                  <c:v>8.68802697040687</c:v>
                </c:pt>
                <c:pt idx="8">
                  <c:v>9.929173680465</c:v>
                </c:pt>
                <c:pt idx="9">
                  <c:v>11.1703203905231</c:v>
                </c:pt>
                <c:pt idx="10">
                  <c:v>12.4114671005813</c:v>
                </c:pt>
                <c:pt idx="11">
                  <c:v>13.6526138106394</c:v>
                </c:pt>
                <c:pt idx="12">
                  <c:v>14.8937605206975</c:v>
                </c:pt>
                <c:pt idx="13">
                  <c:v>16.1349072307556</c:v>
                </c:pt>
                <c:pt idx="14">
                  <c:v>17.3760539408138</c:v>
                </c:pt>
                <c:pt idx="15">
                  <c:v>18.6172006508719</c:v>
                </c:pt>
                <c:pt idx="16">
                  <c:v>19.85834736093</c:v>
                </c:pt>
                <c:pt idx="17">
                  <c:v>21.0994940709881</c:v>
                </c:pt>
                <c:pt idx="18">
                  <c:v>22.3406407810463</c:v>
                </c:pt>
                <c:pt idx="19">
                  <c:v>23.5817874911044</c:v>
                </c:pt>
                <c:pt idx="20">
                  <c:v>24.8229342011625</c:v>
                </c:pt>
                <c:pt idx="21">
                  <c:v>26.0640809112207</c:v>
                </c:pt>
                <c:pt idx="22">
                  <c:v>27.3052276212788</c:v>
                </c:pt>
                <c:pt idx="23">
                  <c:v>28.5463743313369</c:v>
                </c:pt>
                <c:pt idx="24">
                  <c:v>29.787521041395</c:v>
                </c:pt>
                <c:pt idx="25">
                  <c:v>31.0286677514532</c:v>
                </c:pt>
                <c:pt idx="26">
                  <c:v>32.2698144615113</c:v>
                </c:pt>
                <c:pt idx="27">
                  <c:v>33.5109611715694</c:v>
                </c:pt>
                <c:pt idx="28">
                  <c:v>34.7521078816275</c:v>
                </c:pt>
                <c:pt idx="29">
                  <c:v>35.9932545916857</c:v>
                </c:pt>
                <c:pt idx="30">
                  <c:v>37.2344013017438</c:v>
                </c:pt>
                <c:pt idx="31">
                  <c:v>38.4755480118019</c:v>
                </c:pt>
                <c:pt idx="32">
                  <c:v>39.71669472186</c:v>
                </c:pt>
                <c:pt idx="33">
                  <c:v>40.9578414319182</c:v>
                </c:pt>
                <c:pt idx="34">
                  <c:v>42.1989881419763</c:v>
                </c:pt>
                <c:pt idx="35">
                  <c:v>43.4401348520344</c:v>
                </c:pt>
                <c:pt idx="36">
                  <c:v>44.6812815620925</c:v>
                </c:pt>
                <c:pt idx="37">
                  <c:v>45.9224282721507</c:v>
                </c:pt>
                <c:pt idx="38">
                  <c:v>47.1635749822088</c:v>
                </c:pt>
                <c:pt idx="39">
                  <c:v>48.4047216922669</c:v>
                </c:pt>
                <c:pt idx="40">
                  <c:v>49.645868402325</c:v>
                </c:pt>
                <c:pt idx="41">
                  <c:v>50.8870151123832</c:v>
                </c:pt>
                <c:pt idx="42">
                  <c:v>52.1281618224413</c:v>
                </c:pt>
                <c:pt idx="43">
                  <c:v>53.3693085324994</c:v>
                </c:pt>
                <c:pt idx="44">
                  <c:v>54.6104552425575</c:v>
                </c:pt>
                <c:pt idx="45">
                  <c:v>55.8516019526157</c:v>
                </c:pt>
                <c:pt idx="46">
                  <c:v>57.0927486626738</c:v>
                </c:pt>
                <c:pt idx="47">
                  <c:v>58.3338953727319</c:v>
                </c:pt>
                <c:pt idx="48">
                  <c:v>59.5750420827901</c:v>
                </c:pt>
                <c:pt idx="49">
                  <c:v>60.8161887928482</c:v>
                </c:pt>
                <c:pt idx="50">
                  <c:v>62.0573355029063</c:v>
                </c:pt>
                <c:pt idx="51">
                  <c:v>63.2984822129644</c:v>
                </c:pt>
                <c:pt idx="52">
                  <c:v>64.5396289230226</c:v>
                </c:pt>
                <c:pt idx="53">
                  <c:v>65.7807756330807</c:v>
                </c:pt>
                <c:pt idx="54">
                  <c:v>67.0219223431388</c:v>
                </c:pt>
                <c:pt idx="55">
                  <c:v>68.2630690531969</c:v>
                </c:pt>
                <c:pt idx="56">
                  <c:v>69.5042157632551</c:v>
                </c:pt>
                <c:pt idx="57">
                  <c:v>70.7453624733132</c:v>
                </c:pt>
                <c:pt idx="58">
                  <c:v>71.9865091833713</c:v>
                </c:pt>
                <c:pt idx="59">
                  <c:v>73.2276558934294</c:v>
                </c:pt>
                <c:pt idx="60">
                  <c:v>74.4688026034876</c:v>
                </c:pt>
                <c:pt idx="61">
                  <c:v>75.7099493135457</c:v>
                </c:pt>
                <c:pt idx="62">
                  <c:v>76.9510960236038</c:v>
                </c:pt>
                <c:pt idx="63">
                  <c:v>78.1922427336619</c:v>
                </c:pt>
                <c:pt idx="64">
                  <c:v>79.4333894437201</c:v>
                </c:pt>
                <c:pt idx="65">
                  <c:v>80.6745361537782</c:v>
                </c:pt>
                <c:pt idx="66">
                  <c:v>81.9156828638363</c:v>
                </c:pt>
                <c:pt idx="67">
                  <c:v>83.1568295738944</c:v>
                </c:pt>
                <c:pt idx="68">
                  <c:v>84.3979762839526</c:v>
                </c:pt>
                <c:pt idx="69">
                  <c:v>85.6391229940107</c:v>
                </c:pt>
                <c:pt idx="70">
                  <c:v>86.8802697040688</c:v>
                </c:pt>
                <c:pt idx="71">
                  <c:v>88.1214164141269</c:v>
                </c:pt>
                <c:pt idx="72">
                  <c:v>89.3625631241851</c:v>
                </c:pt>
                <c:pt idx="73">
                  <c:v>90.6037098342432</c:v>
                </c:pt>
                <c:pt idx="74">
                  <c:v>91.8448565443013</c:v>
                </c:pt>
                <c:pt idx="75">
                  <c:v>93.0860032543594</c:v>
                </c:pt>
                <c:pt idx="76">
                  <c:v>94.3271499644176</c:v>
                </c:pt>
                <c:pt idx="77">
                  <c:v>95.5682966744757</c:v>
                </c:pt>
                <c:pt idx="78">
                  <c:v>96.8094433845338</c:v>
                </c:pt>
                <c:pt idx="79">
                  <c:v>98.050590094592</c:v>
                </c:pt>
                <c:pt idx="80">
                  <c:v>99.2917368046501</c:v>
                </c:pt>
                <c:pt idx="81">
                  <c:v>100.532883514708</c:v>
                </c:pt>
                <c:pt idx="82">
                  <c:v>101.774030224766</c:v>
                </c:pt>
                <c:pt idx="83">
                  <c:v>103.015176934824</c:v>
                </c:pt>
                <c:pt idx="84">
                  <c:v>104.256323644883</c:v>
                </c:pt>
                <c:pt idx="85">
                  <c:v>105.497470354941</c:v>
                </c:pt>
                <c:pt idx="86">
                  <c:v>106.738617064999</c:v>
                </c:pt>
                <c:pt idx="87">
                  <c:v>107.979763775057</c:v>
                </c:pt>
                <c:pt idx="88">
                  <c:v>109.220910485115</c:v>
                </c:pt>
                <c:pt idx="89">
                  <c:v>110.462057195173</c:v>
                </c:pt>
                <c:pt idx="90">
                  <c:v>111.703203905231</c:v>
                </c:pt>
                <c:pt idx="91">
                  <c:v>112.944350615289</c:v>
                </c:pt>
                <c:pt idx="92">
                  <c:v>114.185497325348</c:v>
                </c:pt>
                <c:pt idx="93">
                  <c:v>115.426644035406</c:v>
                </c:pt>
                <c:pt idx="94">
                  <c:v>116.667790745464</c:v>
                </c:pt>
                <c:pt idx="95">
                  <c:v>117.908937455522</c:v>
                </c:pt>
                <c:pt idx="96">
                  <c:v>119.15008416558</c:v>
                </c:pt>
                <c:pt idx="97">
                  <c:v>120.391230875638</c:v>
                </c:pt>
                <c:pt idx="98">
                  <c:v>121.632377585696</c:v>
                </c:pt>
                <c:pt idx="99">
                  <c:v>122.873524295754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'Little finger results'!$J$2</c:f>
              <c:strCache>
                <c:ptCount val="1"/>
                <c:pt idx="0">
                  <c:v>Theta1</c:v>
                </c:pt>
              </c:strCache>
            </c:strRef>
          </c:tx>
          <c:spPr>
            <a:ln w="19080" cap="rnd" cmpd="sng" algn="ctr">
              <a:solidFill>
                <a:srgbClr val="ED7D31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xVal>
            <c:numRef>
              <c:f>'Little finger results'!$H$3:$H$102</c:f>
              <c:numCache>
                <c:formatCode>General</c:formatCode>
                <c:ptCount val="100"/>
                <c:pt idx="0">
                  <c:v>0</c:v>
                </c:pt>
                <c:pt idx="1">
                  <c:v>0.324931448862147</c:v>
                </c:pt>
                <c:pt idx="2">
                  <c:v>0.649862897724295</c:v>
                </c:pt>
                <c:pt idx="3">
                  <c:v>0.974794346586435</c:v>
                </c:pt>
                <c:pt idx="4">
                  <c:v>1.29972579544858</c:v>
                </c:pt>
                <c:pt idx="5">
                  <c:v>1.62465724431073</c:v>
                </c:pt>
                <c:pt idx="6">
                  <c:v>1.94958869317288</c:v>
                </c:pt>
                <c:pt idx="7">
                  <c:v>2.27452014203502</c:v>
                </c:pt>
                <c:pt idx="8">
                  <c:v>2.59945159089716</c:v>
                </c:pt>
                <c:pt idx="9">
                  <c:v>2.92438303975931</c:v>
                </c:pt>
                <c:pt idx="10">
                  <c:v>3.24931448862146</c:v>
                </c:pt>
                <c:pt idx="11">
                  <c:v>3.57424593748361</c:v>
                </c:pt>
                <c:pt idx="12">
                  <c:v>3.89917738634575</c:v>
                </c:pt>
                <c:pt idx="13">
                  <c:v>4.22410883520789</c:v>
                </c:pt>
                <c:pt idx="14">
                  <c:v>4.54904028407004</c:v>
                </c:pt>
                <c:pt idx="15">
                  <c:v>4.87397173293219</c:v>
                </c:pt>
                <c:pt idx="16">
                  <c:v>5.19890318179434</c:v>
                </c:pt>
                <c:pt idx="17">
                  <c:v>5.52383463065647</c:v>
                </c:pt>
                <c:pt idx="18">
                  <c:v>5.84876607951862</c:v>
                </c:pt>
                <c:pt idx="19">
                  <c:v>6.17369752838077</c:v>
                </c:pt>
                <c:pt idx="20">
                  <c:v>6.49862897724292</c:v>
                </c:pt>
                <c:pt idx="21">
                  <c:v>6.82356042610507</c:v>
                </c:pt>
                <c:pt idx="22">
                  <c:v>7.1484918749672</c:v>
                </c:pt>
                <c:pt idx="23">
                  <c:v>7.47342332382935</c:v>
                </c:pt>
                <c:pt idx="24">
                  <c:v>7.7983547726915</c:v>
                </c:pt>
                <c:pt idx="25">
                  <c:v>8.12328622155365</c:v>
                </c:pt>
                <c:pt idx="26">
                  <c:v>8.44821767041579</c:v>
                </c:pt>
                <c:pt idx="27">
                  <c:v>8.77314911927794</c:v>
                </c:pt>
                <c:pt idx="28">
                  <c:v>9.09808056814008</c:v>
                </c:pt>
                <c:pt idx="29">
                  <c:v>9.42301201700223</c:v>
                </c:pt>
                <c:pt idx="30">
                  <c:v>9.74794346586437</c:v>
                </c:pt>
                <c:pt idx="31">
                  <c:v>10.0728749147265</c:v>
                </c:pt>
                <c:pt idx="32">
                  <c:v>10.3978063635887</c:v>
                </c:pt>
                <c:pt idx="33">
                  <c:v>10.7227378124508</c:v>
                </c:pt>
                <c:pt idx="34">
                  <c:v>11.047669261313</c:v>
                </c:pt>
                <c:pt idx="35">
                  <c:v>11.3726007101751</c:v>
                </c:pt>
                <c:pt idx="36">
                  <c:v>11.6975321590373</c:v>
                </c:pt>
                <c:pt idx="37">
                  <c:v>12.0224636078994</c:v>
                </c:pt>
                <c:pt idx="38">
                  <c:v>12.3473950567615</c:v>
                </c:pt>
                <c:pt idx="39">
                  <c:v>12.6723265056237</c:v>
                </c:pt>
                <c:pt idx="40">
                  <c:v>12.9972579544858</c:v>
                </c:pt>
                <c:pt idx="41">
                  <c:v>13.322189403348</c:v>
                </c:pt>
                <c:pt idx="42">
                  <c:v>13.6471208522101</c:v>
                </c:pt>
                <c:pt idx="43">
                  <c:v>13.9720523010723</c:v>
                </c:pt>
                <c:pt idx="44">
                  <c:v>14.2969837499344</c:v>
                </c:pt>
                <c:pt idx="45">
                  <c:v>14.6219151987966</c:v>
                </c:pt>
                <c:pt idx="46">
                  <c:v>14.9468466476587</c:v>
                </c:pt>
                <c:pt idx="47">
                  <c:v>15.2717780965209</c:v>
                </c:pt>
                <c:pt idx="48">
                  <c:v>15.596709545383</c:v>
                </c:pt>
                <c:pt idx="49">
                  <c:v>15.9216409942451</c:v>
                </c:pt>
                <c:pt idx="50">
                  <c:v>16.2465724431073</c:v>
                </c:pt>
                <c:pt idx="51">
                  <c:v>16.5715038919694</c:v>
                </c:pt>
                <c:pt idx="52">
                  <c:v>16.8964353408316</c:v>
                </c:pt>
                <c:pt idx="53">
                  <c:v>17.2213667896937</c:v>
                </c:pt>
                <c:pt idx="54">
                  <c:v>17.5462982385559</c:v>
                </c:pt>
                <c:pt idx="55">
                  <c:v>17.871229687418</c:v>
                </c:pt>
                <c:pt idx="56">
                  <c:v>18.1961611362802</c:v>
                </c:pt>
                <c:pt idx="57">
                  <c:v>18.5210925851423</c:v>
                </c:pt>
                <c:pt idx="58">
                  <c:v>18.8460240340045</c:v>
                </c:pt>
                <c:pt idx="59">
                  <c:v>19.1709554828666</c:v>
                </c:pt>
                <c:pt idx="60">
                  <c:v>19.4958869317287</c:v>
                </c:pt>
                <c:pt idx="61">
                  <c:v>19.8208183805909</c:v>
                </c:pt>
                <c:pt idx="62">
                  <c:v>20.145749829453</c:v>
                </c:pt>
                <c:pt idx="63">
                  <c:v>20.4706812783152</c:v>
                </c:pt>
                <c:pt idx="64">
                  <c:v>20.7956127271773</c:v>
                </c:pt>
                <c:pt idx="65">
                  <c:v>21.1205441760395</c:v>
                </c:pt>
                <c:pt idx="66">
                  <c:v>21.4454756249016</c:v>
                </c:pt>
                <c:pt idx="67">
                  <c:v>21.7704070737638</c:v>
                </c:pt>
                <c:pt idx="68">
                  <c:v>22.0953385226259</c:v>
                </c:pt>
                <c:pt idx="69">
                  <c:v>22.4202699714881</c:v>
                </c:pt>
                <c:pt idx="70">
                  <c:v>22.7452014203502</c:v>
                </c:pt>
                <c:pt idx="71">
                  <c:v>23.0701328692123</c:v>
                </c:pt>
                <c:pt idx="72">
                  <c:v>23.3950643180745</c:v>
                </c:pt>
                <c:pt idx="73">
                  <c:v>23.7199957669366</c:v>
                </c:pt>
                <c:pt idx="74">
                  <c:v>24.0449272157988</c:v>
                </c:pt>
                <c:pt idx="75">
                  <c:v>24.3698586646609</c:v>
                </c:pt>
                <c:pt idx="76">
                  <c:v>24.6947901135231</c:v>
                </c:pt>
                <c:pt idx="77">
                  <c:v>25.0197215623852</c:v>
                </c:pt>
                <c:pt idx="78">
                  <c:v>25.3446530112474</c:v>
                </c:pt>
                <c:pt idx="79">
                  <c:v>25.6695844601095</c:v>
                </c:pt>
                <c:pt idx="80">
                  <c:v>25.9945159089717</c:v>
                </c:pt>
                <c:pt idx="81">
                  <c:v>26.3194473578338</c:v>
                </c:pt>
                <c:pt idx="82">
                  <c:v>26.644378806696</c:v>
                </c:pt>
                <c:pt idx="83">
                  <c:v>26.9693102555581</c:v>
                </c:pt>
                <c:pt idx="84">
                  <c:v>27.2942417044202</c:v>
                </c:pt>
                <c:pt idx="85">
                  <c:v>27.6191731532824</c:v>
                </c:pt>
                <c:pt idx="86">
                  <c:v>27.9441046021445</c:v>
                </c:pt>
                <c:pt idx="87">
                  <c:v>28.2690360510067</c:v>
                </c:pt>
                <c:pt idx="88">
                  <c:v>28.5939674998688</c:v>
                </c:pt>
                <c:pt idx="89">
                  <c:v>28.918898948731</c:v>
                </c:pt>
                <c:pt idx="90">
                  <c:v>29.2438303975931</c:v>
                </c:pt>
                <c:pt idx="91">
                  <c:v>29.5687618464553</c:v>
                </c:pt>
                <c:pt idx="92">
                  <c:v>29.8936932953174</c:v>
                </c:pt>
                <c:pt idx="93">
                  <c:v>30.2186247441796</c:v>
                </c:pt>
                <c:pt idx="94">
                  <c:v>30.5435561930417</c:v>
                </c:pt>
                <c:pt idx="95">
                  <c:v>30.8684876419038</c:v>
                </c:pt>
                <c:pt idx="96">
                  <c:v>31.193419090766</c:v>
                </c:pt>
                <c:pt idx="97">
                  <c:v>31.5183505396281</c:v>
                </c:pt>
                <c:pt idx="98">
                  <c:v>31.8432819884903</c:v>
                </c:pt>
                <c:pt idx="99">
                  <c:v>32.1682134373524</c:v>
                </c:pt>
              </c:numCache>
            </c:numRef>
          </c:xVal>
          <c:yVal>
            <c:numRef>
              <c:f>'Little finger results'!$J$3:$J$102</c:f>
              <c:numCache>
                <c:formatCode>General</c:formatCode>
                <c:ptCount val="100"/>
                <c:pt idx="0">
                  <c:v>0</c:v>
                </c:pt>
                <c:pt idx="1">
                  <c:v>1.05470989145189</c:v>
                </c:pt>
                <c:pt idx="2">
                  <c:v>1.85553862819153</c:v>
                </c:pt>
                <c:pt idx="3">
                  <c:v>2.55754350568668</c:v>
                </c:pt>
                <c:pt idx="4">
                  <c:v>3.13702364251018</c:v>
                </c:pt>
                <c:pt idx="5">
                  <c:v>3.69709454867753</c:v>
                </c:pt>
                <c:pt idx="6">
                  <c:v>4.18773637289671</c:v>
                </c:pt>
                <c:pt idx="7">
                  <c:v>4.67837819711587</c:v>
                </c:pt>
                <c:pt idx="8">
                  <c:v>5.11377954899661</c:v>
                </c:pt>
                <c:pt idx="9">
                  <c:v>5.54650946780257</c:v>
                </c:pt>
                <c:pt idx="10">
                  <c:v>5.96454157276728</c:v>
                </c:pt>
                <c:pt idx="11">
                  <c:v>6.3592132533317</c:v>
                </c:pt>
                <c:pt idx="12">
                  <c:v>6.75388493389612</c:v>
                </c:pt>
                <c:pt idx="13">
                  <c:v>7.13463349469719</c:v>
                </c:pt>
                <c:pt idx="14">
                  <c:v>7.50491771857496</c:v>
                </c:pt>
                <c:pt idx="15">
                  <c:v>7.87520194245272</c:v>
                </c:pt>
                <c:pt idx="16">
                  <c:v>8.23724876551308</c:v>
                </c:pt>
                <c:pt idx="17">
                  <c:v>8.59308686313048</c:v>
                </c:pt>
                <c:pt idx="18">
                  <c:v>8.94892496074789</c:v>
                </c:pt>
                <c:pt idx="19">
                  <c:v>9.30167793999961</c:v>
                </c:pt>
                <c:pt idx="20">
                  <c:v>9.65062494445516</c:v>
                </c:pt>
                <c:pt idx="21">
                  <c:v>9.99957194891071</c:v>
                </c:pt>
                <c:pt idx="22">
                  <c:v>10.3482723030817</c:v>
                </c:pt>
                <c:pt idx="23">
                  <c:v>10.6962833014056</c:v>
                </c:pt>
                <c:pt idx="24">
                  <c:v>11.0442942997295</c:v>
                </c:pt>
                <c:pt idx="25">
                  <c:v>11.3925815864196</c:v>
                </c:pt>
                <c:pt idx="26">
                  <c:v>11.7444968145846</c:v>
                </c:pt>
                <c:pt idx="27">
                  <c:v>12.0964120427496</c:v>
                </c:pt>
                <c:pt idx="28">
                  <c:v>12.4483272709145</c:v>
                </c:pt>
                <c:pt idx="29">
                  <c:v>12.8074964891734</c:v>
                </c:pt>
                <c:pt idx="30">
                  <c:v>13.1673531114325</c:v>
                </c:pt>
                <c:pt idx="31">
                  <c:v>13.5272097336917</c:v>
                </c:pt>
                <c:pt idx="32">
                  <c:v>13.8964659413405</c:v>
                </c:pt>
                <c:pt idx="33">
                  <c:v>14.2677050882366</c:v>
                </c:pt>
                <c:pt idx="34">
                  <c:v>14.6389442351327</c:v>
                </c:pt>
                <c:pt idx="35">
                  <c:v>15.0221499692453</c:v>
                </c:pt>
                <c:pt idx="36">
                  <c:v>15.4077580180448</c:v>
                </c:pt>
                <c:pt idx="37">
                  <c:v>15.7933660668444</c:v>
                </c:pt>
                <c:pt idx="38">
                  <c:v>16.1951466228308</c:v>
                </c:pt>
                <c:pt idx="39">
                  <c:v>16.5977540371199</c:v>
                </c:pt>
                <c:pt idx="40">
                  <c:v>17.0040673779908</c:v>
                </c:pt>
                <c:pt idx="41">
                  <c:v>17.4260196706185</c:v>
                </c:pt>
                <c:pt idx="42">
                  <c:v>17.8479719632463</c:v>
                </c:pt>
                <c:pt idx="43">
                  <c:v>18.2819044335648</c:v>
                </c:pt>
                <c:pt idx="44">
                  <c:v>18.725314694145</c:v>
                </c:pt>
                <c:pt idx="45">
                  <c:v>19.1699518452151</c:v>
                </c:pt>
                <c:pt idx="46">
                  <c:v>19.6367411575222</c:v>
                </c:pt>
                <c:pt idx="47">
                  <c:v>20.1035304698294</c:v>
                </c:pt>
                <c:pt idx="48">
                  <c:v>20.587218212847</c:v>
                </c:pt>
                <c:pt idx="49">
                  <c:v>21.0791483354468</c:v>
                </c:pt>
                <c:pt idx="50">
                  <c:v>21.5821477177599</c:v>
                </c:pt>
                <c:pt idx="51">
                  <c:v>22.1008491521897</c:v>
                </c:pt>
                <c:pt idx="52">
                  <c:v>22.6272294510982</c:v>
                </c:pt>
                <c:pt idx="53">
                  <c:v>23.1742272109981</c:v>
                </c:pt>
                <c:pt idx="54">
                  <c:v>23.7283653081711</c:v>
                </c:pt>
                <c:pt idx="55">
                  <c:v>24.305104169858</c:v>
                </c:pt>
                <c:pt idx="56">
                  <c:v>24.8916041590559</c:v>
                </c:pt>
                <c:pt idx="57">
                  <c:v>25.4994748166572</c:v>
                </c:pt>
                <c:pt idx="58">
                  <c:v>26.1231280460658</c:v>
                </c:pt>
                <c:pt idx="59">
                  <c:v>26.7634953418808</c:v>
                </c:pt>
                <c:pt idx="60">
                  <c:v>27.4292815269034</c:v>
                </c:pt>
                <c:pt idx="61">
                  <c:v>28.1071349458333</c:v>
                </c:pt>
                <c:pt idx="62">
                  <c:v>28.8166468288088</c:v>
                </c:pt>
                <c:pt idx="63">
                  <c:v>29.5458875611097</c:v>
                </c:pt>
                <c:pt idx="64">
                  <c:v>30.2939989254032</c:v>
                </c:pt>
                <c:pt idx="65">
                  <c:v>31.0786623488386</c:v>
                </c:pt>
                <c:pt idx="66">
                  <c:v>31.8886999883611</c:v>
                </c:pt>
                <c:pt idx="67">
                  <c:v>32.7255380528761</c:v>
                </c:pt>
                <c:pt idx="68">
                  <c:v>33.5926886147255</c:v>
                </c:pt>
                <c:pt idx="69">
                  <c:v>34.5041723372386</c:v>
                </c:pt>
                <c:pt idx="70">
                  <c:v>35.452574204882</c:v>
                </c:pt>
                <c:pt idx="71">
                  <c:v>36.4424403531098</c:v>
                </c:pt>
                <c:pt idx="72">
                  <c:v>37.4790813806715</c:v>
                </c:pt>
                <c:pt idx="73">
                  <c:v>38.5685714195188</c:v>
                </c:pt>
                <c:pt idx="74">
                  <c:v>39.7178724871138</c:v>
                </c:pt>
                <c:pt idx="75">
                  <c:v>40.9349227597799</c:v>
                </c:pt>
                <c:pt idx="76">
                  <c:v>42.2286582597043</c:v>
                </c:pt>
                <c:pt idx="77">
                  <c:v>43.6100495526859</c:v>
                </c:pt>
                <c:pt idx="78">
                  <c:v>45.1089434732368</c:v>
                </c:pt>
                <c:pt idx="79">
                  <c:v>46.7220880399014</c:v>
                </c:pt>
                <c:pt idx="80">
                  <c:v>48.4844214291339</c:v>
                </c:pt>
                <c:pt idx="81">
                  <c:v>50.4062913381076</c:v>
                </c:pt>
                <c:pt idx="82">
                  <c:v>52.5176363625796</c:v>
                </c:pt>
                <c:pt idx="83">
                  <c:v>54.8389256592267</c:v>
                </c:pt>
                <c:pt idx="84">
                  <c:v>57.3767892523691</c:v>
                </c:pt>
                <c:pt idx="85">
                  <c:v>60.1229541340033</c:v>
                </c:pt>
                <c:pt idx="86">
                  <c:v>63.0684092655997</c:v>
                </c:pt>
                <c:pt idx="87">
                  <c:v>66.173952772314</c:v>
                </c:pt>
                <c:pt idx="88">
                  <c:v>69.3989807349214</c:v>
                </c:pt>
                <c:pt idx="89">
                  <c:v>72.6978792890406</c:v>
                </c:pt>
                <c:pt idx="90">
                  <c:v>76.0311114862732</c:v>
                </c:pt>
                <c:pt idx="91">
                  <c:v>79.3726937620442</c:v>
                </c:pt>
                <c:pt idx="92">
                  <c:v>82.7096138390689</c:v>
                </c:pt>
                <c:pt idx="93">
                  <c:v>86.0322851534389</c:v>
                </c:pt>
                <c:pt idx="94">
                  <c:v>89.326636692799</c:v>
                </c:pt>
                <c:pt idx="95">
                  <c:v>92.5745786743821</c:v>
                </c:pt>
                <c:pt idx="96">
                  <c:v>95.7563635988655</c:v>
                </c:pt>
                <c:pt idx="97">
                  <c:v>98.8507897170914</c:v>
                </c:pt>
                <c:pt idx="98">
                  <c:v>101.838588133012</c:v>
                </c:pt>
                <c:pt idx="99">
                  <c:v>104.701011139129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'Little finger results'!$K$2</c:f>
              <c:strCache>
                <c:ptCount val="1"/>
                <c:pt idx="0">
                  <c:v>Theta2</c:v>
                </c:pt>
              </c:strCache>
            </c:strRef>
          </c:tx>
          <c:spPr>
            <a:ln w="19080" cap="rnd" cmpd="sng" algn="ctr">
              <a:solidFill>
                <a:srgbClr val="A5A5A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xVal>
            <c:numRef>
              <c:f>'Little finger results'!$H$3:$H$102</c:f>
              <c:numCache>
                <c:formatCode>General</c:formatCode>
                <c:ptCount val="100"/>
                <c:pt idx="0">
                  <c:v>0</c:v>
                </c:pt>
                <c:pt idx="1">
                  <c:v>0.324931448862147</c:v>
                </c:pt>
                <c:pt idx="2">
                  <c:v>0.649862897724295</c:v>
                </c:pt>
                <c:pt idx="3">
                  <c:v>0.974794346586435</c:v>
                </c:pt>
                <c:pt idx="4">
                  <c:v>1.29972579544858</c:v>
                </c:pt>
                <c:pt idx="5">
                  <c:v>1.62465724431073</c:v>
                </c:pt>
                <c:pt idx="6">
                  <c:v>1.94958869317288</c:v>
                </c:pt>
                <c:pt idx="7">
                  <c:v>2.27452014203502</c:v>
                </c:pt>
                <c:pt idx="8">
                  <c:v>2.59945159089716</c:v>
                </c:pt>
                <c:pt idx="9">
                  <c:v>2.92438303975931</c:v>
                </c:pt>
                <c:pt idx="10">
                  <c:v>3.24931448862146</c:v>
                </c:pt>
                <c:pt idx="11">
                  <c:v>3.57424593748361</c:v>
                </c:pt>
                <c:pt idx="12">
                  <c:v>3.89917738634575</c:v>
                </c:pt>
                <c:pt idx="13">
                  <c:v>4.22410883520789</c:v>
                </c:pt>
                <c:pt idx="14">
                  <c:v>4.54904028407004</c:v>
                </c:pt>
                <c:pt idx="15">
                  <c:v>4.87397173293219</c:v>
                </c:pt>
                <c:pt idx="16">
                  <c:v>5.19890318179434</c:v>
                </c:pt>
                <c:pt idx="17">
                  <c:v>5.52383463065647</c:v>
                </c:pt>
                <c:pt idx="18">
                  <c:v>5.84876607951862</c:v>
                </c:pt>
                <c:pt idx="19">
                  <c:v>6.17369752838077</c:v>
                </c:pt>
                <c:pt idx="20">
                  <c:v>6.49862897724292</c:v>
                </c:pt>
                <c:pt idx="21">
                  <c:v>6.82356042610507</c:v>
                </c:pt>
                <c:pt idx="22">
                  <c:v>7.1484918749672</c:v>
                </c:pt>
                <c:pt idx="23">
                  <c:v>7.47342332382935</c:v>
                </c:pt>
                <c:pt idx="24">
                  <c:v>7.7983547726915</c:v>
                </c:pt>
                <c:pt idx="25">
                  <c:v>8.12328622155365</c:v>
                </c:pt>
                <c:pt idx="26">
                  <c:v>8.44821767041579</c:v>
                </c:pt>
                <c:pt idx="27">
                  <c:v>8.77314911927794</c:v>
                </c:pt>
                <c:pt idx="28">
                  <c:v>9.09808056814008</c:v>
                </c:pt>
                <c:pt idx="29">
                  <c:v>9.42301201700223</c:v>
                </c:pt>
                <c:pt idx="30">
                  <c:v>9.74794346586437</c:v>
                </c:pt>
                <c:pt idx="31">
                  <c:v>10.0728749147265</c:v>
                </c:pt>
                <c:pt idx="32">
                  <c:v>10.3978063635887</c:v>
                </c:pt>
                <c:pt idx="33">
                  <c:v>10.7227378124508</c:v>
                </c:pt>
                <c:pt idx="34">
                  <c:v>11.047669261313</c:v>
                </c:pt>
                <c:pt idx="35">
                  <c:v>11.3726007101751</c:v>
                </c:pt>
                <c:pt idx="36">
                  <c:v>11.6975321590373</c:v>
                </c:pt>
                <c:pt idx="37">
                  <c:v>12.0224636078994</c:v>
                </c:pt>
                <c:pt idx="38">
                  <c:v>12.3473950567615</c:v>
                </c:pt>
                <c:pt idx="39">
                  <c:v>12.6723265056237</c:v>
                </c:pt>
                <c:pt idx="40">
                  <c:v>12.9972579544858</c:v>
                </c:pt>
                <c:pt idx="41">
                  <c:v>13.322189403348</c:v>
                </c:pt>
                <c:pt idx="42">
                  <c:v>13.6471208522101</c:v>
                </c:pt>
                <c:pt idx="43">
                  <c:v>13.9720523010723</c:v>
                </c:pt>
                <c:pt idx="44">
                  <c:v>14.2969837499344</c:v>
                </c:pt>
                <c:pt idx="45">
                  <c:v>14.6219151987966</c:v>
                </c:pt>
                <c:pt idx="46">
                  <c:v>14.9468466476587</c:v>
                </c:pt>
                <c:pt idx="47">
                  <c:v>15.2717780965209</c:v>
                </c:pt>
                <c:pt idx="48">
                  <c:v>15.596709545383</c:v>
                </c:pt>
                <c:pt idx="49">
                  <c:v>15.9216409942451</c:v>
                </c:pt>
                <c:pt idx="50">
                  <c:v>16.2465724431073</c:v>
                </c:pt>
                <c:pt idx="51">
                  <c:v>16.5715038919694</c:v>
                </c:pt>
                <c:pt idx="52">
                  <c:v>16.8964353408316</c:v>
                </c:pt>
                <c:pt idx="53">
                  <c:v>17.2213667896937</c:v>
                </c:pt>
                <c:pt idx="54">
                  <c:v>17.5462982385559</c:v>
                </c:pt>
                <c:pt idx="55">
                  <c:v>17.871229687418</c:v>
                </c:pt>
                <c:pt idx="56">
                  <c:v>18.1961611362802</c:v>
                </c:pt>
                <c:pt idx="57">
                  <c:v>18.5210925851423</c:v>
                </c:pt>
                <c:pt idx="58">
                  <c:v>18.8460240340045</c:v>
                </c:pt>
                <c:pt idx="59">
                  <c:v>19.1709554828666</c:v>
                </c:pt>
                <c:pt idx="60">
                  <c:v>19.4958869317287</c:v>
                </c:pt>
                <c:pt idx="61">
                  <c:v>19.8208183805909</c:v>
                </c:pt>
                <c:pt idx="62">
                  <c:v>20.145749829453</c:v>
                </c:pt>
                <c:pt idx="63">
                  <c:v>20.4706812783152</c:v>
                </c:pt>
                <c:pt idx="64">
                  <c:v>20.7956127271773</c:v>
                </c:pt>
                <c:pt idx="65">
                  <c:v>21.1205441760395</c:v>
                </c:pt>
                <c:pt idx="66">
                  <c:v>21.4454756249016</c:v>
                </c:pt>
                <c:pt idx="67">
                  <c:v>21.7704070737638</c:v>
                </c:pt>
                <c:pt idx="68">
                  <c:v>22.0953385226259</c:v>
                </c:pt>
                <c:pt idx="69">
                  <c:v>22.4202699714881</c:v>
                </c:pt>
                <c:pt idx="70">
                  <c:v>22.7452014203502</c:v>
                </c:pt>
                <c:pt idx="71">
                  <c:v>23.0701328692123</c:v>
                </c:pt>
                <c:pt idx="72">
                  <c:v>23.3950643180745</c:v>
                </c:pt>
                <c:pt idx="73">
                  <c:v>23.7199957669366</c:v>
                </c:pt>
                <c:pt idx="74">
                  <c:v>24.0449272157988</c:v>
                </c:pt>
                <c:pt idx="75">
                  <c:v>24.3698586646609</c:v>
                </c:pt>
                <c:pt idx="76">
                  <c:v>24.6947901135231</c:v>
                </c:pt>
                <c:pt idx="77">
                  <c:v>25.0197215623852</c:v>
                </c:pt>
                <c:pt idx="78">
                  <c:v>25.3446530112474</c:v>
                </c:pt>
                <c:pt idx="79">
                  <c:v>25.6695844601095</c:v>
                </c:pt>
                <c:pt idx="80">
                  <c:v>25.9945159089717</c:v>
                </c:pt>
                <c:pt idx="81">
                  <c:v>26.3194473578338</c:v>
                </c:pt>
                <c:pt idx="82">
                  <c:v>26.644378806696</c:v>
                </c:pt>
                <c:pt idx="83">
                  <c:v>26.9693102555581</c:v>
                </c:pt>
                <c:pt idx="84">
                  <c:v>27.2942417044202</c:v>
                </c:pt>
                <c:pt idx="85">
                  <c:v>27.6191731532824</c:v>
                </c:pt>
                <c:pt idx="86">
                  <c:v>27.9441046021445</c:v>
                </c:pt>
                <c:pt idx="87">
                  <c:v>28.2690360510067</c:v>
                </c:pt>
                <c:pt idx="88">
                  <c:v>28.5939674998688</c:v>
                </c:pt>
                <c:pt idx="89">
                  <c:v>28.918898948731</c:v>
                </c:pt>
                <c:pt idx="90">
                  <c:v>29.2438303975931</c:v>
                </c:pt>
                <c:pt idx="91">
                  <c:v>29.5687618464553</c:v>
                </c:pt>
                <c:pt idx="92">
                  <c:v>29.8936932953174</c:v>
                </c:pt>
                <c:pt idx="93">
                  <c:v>30.2186247441796</c:v>
                </c:pt>
                <c:pt idx="94">
                  <c:v>30.5435561930417</c:v>
                </c:pt>
                <c:pt idx="95">
                  <c:v>30.8684876419038</c:v>
                </c:pt>
                <c:pt idx="96">
                  <c:v>31.193419090766</c:v>
                </c:pt>
                <c:pt idx="97">
                  <c:v>31.5183505396281</c:v>
                </c:pt>
                <c:pt idx="98">
                  <c:v>31.8432819884903</c:v>
                </c:pt>
                <c:pt idx="99">
                  <c:v>32.1682134373524</c:v>
                </c:pt>
              </c:numCache>
            </c:numRef>
          </c:xVal>
          <c:yVal>
            <c:numRef>
              <c:f>'Little finger results'!$K$3:$K$102</c:f>
              <c:numCache>
                <c:formatCode>General</c:formatCode>
                <c:ptCount val="100"/>
                <c:pt idx="0">
                  <c:v>0</c:v>
                </c:pt>
                <c:pt idx="1">
                  <c:v>0.791032418588914</c:v>
                </c:pt>
                <c:pt idx="2">
                  <c:v>1.39165397114365</c:v>
                </c:pt>
                <c:pt idx="3">
                  <c:v>1.91815762926501</c:v>
                </c:pt>
                <c:pt idx="4">
                  <c:v>2.35276773188263</c:v>
                </c:pt>
                <c:pt idx="5">
                  <c:v>2.77282091150814</c:v>
                </c:pt>
                <c:pt idx="6">
                  <c:v>3.14080227967253</c:v>
                </c:pt>
                <c:pt idx="7">
                  <c:v>3.5087836478369</c:v>
                </c:pt>
                <c:pt idx="8">
                  <c:v>3.83533466174746</c:v>
                </c:pt>
                <c:pt idx="9">
                  <c:v>4.15988210085193</c:v>
                </c:pt>
                <c:pt idx="10">
                  <c:v>4.47340617957546</c:v>
                </c:pt>
                <c:pt idx="11">
                  <c:v>4.76940993999877</c:v>
                </c:pt>
                <c:pt idx="12">
                  <c:v>5.06541370042209</c:v>
                </c:pt>
                <c:pt idx="13">
                  <c:v>5.3509751210229</c:v>
                </c:pt>
                <c:pt idx="14">
                  <c:v>5.62868828893122</c:v>
                </c:pt>
                <c:pt idx="15">
                  <c:v>5.90640145683954</c:v>
                </c:pt>
                <c:pt idx="16">
                  <c:v>6.17793657413481</c:v>
                </c:pt>
                <c:pt idx="17">
                  <c:v>6.44481514734786</c:v>
                </c:pt>
                <c:pt idx="18">
                  <c:v>6.71169372056092</c:v>
                </c:pt>
                <c:pt idx="19">
                  <c:v>6.97625845499971</c:v>
                </c:pt>
                <c:pt idx="20">
                  <c:v>7.23796870834137</c:v>
                </c:pt>
                <c:pt idx="21">
                  <c:v>7.49967896168303</c:v>
                </c:pt>
                <c:pt idx="22">
                  <c:v>7.76120422731127</c:v>
                </c:pt>
                <c:pt idx="23">
                  <c:v>8.02221247605418</c:v>
                </c:pt>
                <c:pt idx="24">
                  <c:v>8.28322072479709</c:v>
                </c:pt>
                <c:pt idx="25">
                  <c:v>8.54443618981473</c:v>
                </c:pt>
                <c:pt idx="26">
                  <c:v>8.80837261093846</c:v>
                </c:pt>
                <c:pt idx="27">
                  <c:v>9.07230903206217</c:v>
                </c:pt>
                <c:pt idx="28">
                  <c:v>9.3362454531859</c:v>
                </c:pt>
                <c:pt idx="29">
                  <c:v>9.60562236688007</c:v>
                </c:pt>
                <c:pt idx="30">
                  <c:v>9.8755148335744</c:v>
                </c:pt>
                <c:pt idx="31">
                  <c:v>10.1454073002687</c:v>
                </c:pt>
                <c:pt idx="32">
                  <c:v>10.4223494560054</c:v>
                </c:pt>
                <c:pt idx="33">
                  <c:v>10.7007788161775</c:v>
                </c:pt>
                <c:pt idx="34">
                  <c:v>10.9792081763496</c:v>
                </c:pt>
                <c:pt idx="35">
                  <c:v>11.266612476934</c:v>
                </c:pt>
                <c:pt idx="36">
                  <c:v>11.5558185135336</c:v>
                </c:pt>
                <c:pt idx="37">
                  <c:v>11.8450245501333</c:v>
                </c:pt>
                <c:pt idx="38">
                  <c:v>12.1463599671231</c:v>
                </c:pt>
                <c:pt idx="39">
                  <c:v>12.4483155278399</c:v>
                </c:pt>
                <c:pt idx="40">
                  <c:v>12.7530505334931</c:v>
                </c:pt>
                <c:pt idx="41">
                  <c:v>13.0695147529639</c:v>
                </c:pt>
                <c:pt idx="42">
                  <c:v>13.3859789724347</c:v>
                </c:pt>
                <c:pt idx="43">
                  <c:v>13.7114283251736</c:v>
                </c:pt>
                <c:pt idx="44">
                  <c:v>14.0439860206087</c:v>
                </c:pt>
                <c:pt idx="45">
                  <c:v>14.3774638839113</c:v>
                </c:pt>
                <c:pt idx="46">
                  <c:v>14.7275558681417</c:v>
                </c:pt>
                <c:pt idx="47">
                  <c:v>15.0776478523721</c:v>
                </c:pt>
                <c:pt idx="48">
                  <c:v>15.4404136596352</c:v>
                </c:pt>
                <c:pt idx="49">
                  <c:v>15.8093612515851</c:v>
                </c:pt>
                <c:pt idx="50">
                  <c:v>16.1866107883199</c:v>
                </c:pt>
                <c:pt idx="51">
                  <c:v>16.5756368641423</c:v>
                </c:pt>
                <c:pt idx="52">
                  <c:v>16.9704220883236</c:v>
                </c:pt>
                <c:pt idx="53">
                  <c:v>17.3806704082485</c:v>
                </c:pt>
                <c:pt idx="54">
                  <c:v>17.7962739811283</c:v>
                </c:pt>
                <c:pt idx="55">
                  <c:v>18.2288281273935</c:v>
                </c:pt>
                <c:pt idx="56">
                  <c:v>18.6687031192919</c:v>
                </c:pt>
                <c:pt idx="57">
                  <c:v>19.1246061124929</c:v>
                </c:pt>
                <c:pt idx="58">
                  <c:v>19.5923460345494</c:v>
                </c:pt>
                <c:pt idx="59">
                  <c:v>20.0726215064106</c:v>
                </c:pt>
                <c:pt idx="60">
                  <c:v>20.5719611451775</c:v>
                </c:pt>
                <c:pt idx="61">
                  <c:v>21.080351209375</c:v>
                </c:pt>
                <c:pt idx="62">
                  <c:v>21.6124851216066</c:v>
                </c:pt>
                <c:pt idx="63">
                  <c:v>22.1594156708323</c:v>
                </c:pt>
                <c:pt idx="64">
                  <c:v>22.7204991940524</c:v>
                </c:pt>
                <c:pt idx="65">
                  <c:v>23.308996761629</c:v>
                </c:pt>
                <c:pt idx="66">
                  <c:v>23.9165249912708</c:v>
                </c:pt>
                <c:pt idx="67">
                  <c:v>24.544153539657</c:v>
                </c:pt>
                <c:pt idx="68">
                  <c:v>25.1945164610441</c:v>
                </c:pt>
                <c:pt idx="69">
                  <c:v>25.8781292529289</c:v>
                </c:pt>
                <c:pt idx="70">
                  <c:v>26.5894306536615</c:v>
                </c:pt>
                <c:pt idx="71">
                  <c:v>27.3318302648323</c:v>
                </c:pt>
                <c:pt idx="72">
                  <c:v>28.1093110355037</c:v>
                </c:pt>
                <c:pt idx="73">
                  <c:v>28.9264285646391</c:v>
                </c:pt>
                <c:pt idx="74">
                  <c:v>29.7884043653354</c:v>
                </c:pt>
                <c:pt idx="75">
                  <c:v>30.7011920698349</c:v>
                </c:pt>
                <c:pt idx="76">
                  <c:v>31.6714936947782</c:v>
                </c:pt>
                <c:pt idx="77">
                  <c:v>32.7075371645145</c:v>
                </c:pt>
                <c:pt idx="78">
                  <c:v>33.8317076049276</c:v>
                </c:pt>
                <c:pt idx="79">
                  <c:v>35.041566029926</c:v>
                </c:pt>
                <c:pt idx="80">
                  <c:v>36.3633160718504</c:v>
                </c:pt>
                <c:pt idx="81">
                  <c:v>37.8047185035807</c:v>
                </c:pt>
                <c:pt idx="82">
                  <c:v>39.3882272719347</c:v>
                </c:pt>
                <c:pt idx="83">
                  <c:v>41.12919424442</c:v>
                </c:pt>
                <c:pt idx="84">
                  <c:v>43.0325919392769</c:v>
                </c:pt>
                <c:pt idx="85">
                  <c:v>45.0922156005025</c:v>
                </c:pt>
                <c:pt idx="86">
                  <c:v>47.3013069491998</c:v>
                </c:pt>
                <c:pt idx="87">
                  <c:v>49.6304645792355</c:v>
                </c:pt>
                <c:pt idx="88">
                  <c:v>52.0492355511911</c:v>
                </c:pt>
                <c:pt idx="89">
                  <c:v>54.5234094667804</c:v>
                </c:pt>
                <c:pt idx="90">
                  <c:v>57.0233336147049</c:v>
                </c:pt>
                <c:pt idx="91">
                  <c:v>59.5295203215332</c:v>
                </c:pt>
                <c:pt idx="92">
                  <c:v>62.0322103793017</c:v>
                </c:pt>
                <c:pt idx="93">
                  <c:v>64.5242138650792</c:v>
                </c:pt>
                <c:pt idx="94">
                  <c:v>66.9949775195993</c:v>
                </c:pt>
                <c:pt idx="95">
                  <c:v>69.4309340057865</c:v>
                </c:pt>
                <c:pt idx="96">
                  <c:v>71.8172726991491</c:v>
                </c:pt>
                <c:pt idx="97">
                  <c:v>74.1380922878185</c:v>
                </c:pt>
                <c:pt idx="98">
                  <c:v>76.3789410997593</c:v>
                </c:pt>
                <c:pt idx="99">
                  <c:v>78.5257583543468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'Little finger results'!$L$2</c:f>
              <c:strCache>
                <c:ptCount val="1"/>
                <c:pt idx="0">
                  <c:v>Theta3</c:v>
                </c:pt>
              </c:strCache>
            </c:strRef>
          </c:tx>
          <c:spPr>
            <a:ln w="19080" cap="rnd" cmpd="sng" algn="ctr">
              <a:solidFill>
                <a:srgbClr val="FFC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xVal>
            <c:numRef>
              <c:f>'Little finger results'!$H$3:$H$102</c:f>
              <c:numCache>
                <c:formatCode>General</c:formatCode>
                <c:ptCount val="100"/>
                <c:pt idx="0">
                  <c:v>0</c:v>
                </c:pt>
                <c:pt idx="1">
                  <c:v>0.324931448862147</c:v>
                </c:pt>
                <c:pt idx="2">
                  <c:v>0.649862897724295</c:v>
                </c:pt>
                <c:pt idx="3">
                  <c:v>0.974794346586435</c:v>
                </c:pt>
                <c:pt idx="4">
                  <c:v>1.29972579544858</c:v>
                </c:pt>
                <c:pt idx="5">
                  <c:v>1.62465724431073</c:v>
                </c:pt>
                <c:pt idx="6">
                  <c:v>1.94958869317288</c:v>
                </c:pt>
                <c:pt idx="7">
                  <c:v>2.27452014203502</c:v>
                </c:pt>
                <c:pt idx="8">
                  <c:v>2.59945159089716</c:v>
                </c:pt>
                <c:pt idx="9">
                  <c:v>2.92438303975931</c:v>
                </c:pt>
                <c:pt idx="10">
                  <c:v>3.24931448862146</c:v>
                </c:pt>
                <c:pt idx="11">
                  <c:v>3.57424593748361</c:v>
                </c:pt>
                <c:pt idx="12">
                  <c:v>3.89917738634575</c:v>
                </c:pt>
                <c:pt idx="13">
                  <c:v>4.22410883520789</c:v>
                </c:pt>
                <c:pt idx="14">
                  <c:v>4.54904028407004</c:v>
                </c:pt>
                <c:pt idx="15">
                  <c:v>4.87397173293219</c:v>
                </c:pt>
                <c:pt idx="16">
                  <c:v>5.19890318179434</c:v>
                </c:pt>
                <c:pt idx="17">
                  <c:v>5.52383463065647</c:v>
                </c:pt>
                <c:pt idx="18">
                  <c:v>5.84876607951862</c:v>
                </c:pt>
                <c:pt idx="19">
                  <c:v>6.17369752838077</c:v>
                </c:pt>
                <c:pt idx="20">
                  <c:v>6.49862897724292</c:v>
                </c:pt>
                <c:pt idx="21">
                  <c:v>6.82356042610507</c:v>
                </c:pt>
                <c:pt idx="22">
                  <c:v>7.1484918749672</c:v>
                </c:pt>
                <c:pt idx="23">
                  <c:v>7.47342332382935</c:v>
                </c:pt>
                <c:pt idx="24">
                  <c:v>7.7983547726915</c:v>
                </c:pt>
                <c:pt idx="25">
                  <c:v>8.12328622155365</c:v>
                </c:pt>
                <c:pt idx="26">
                  <c:v>8.44821767041579</c:v>
                </c:pt>
                <c:pt idx="27">
                  <c:v>8.77314911927794</c:v>
                </c:pt>
                <c:pt idx="28">
                  <c:v>9.09808056814008</c:v>
                </c:pt>
                <c:pt idx="29">
                  <c:v>9.42301201700223</c:v>
                </c:pt>
                <c:pt idx="30">
                  <c:v>9.74794346586437</c:v>
                </c:pt>
                <c:pt idx="31">
                  <c:v>10.0728749147265</c:v>
                </c:pt>
                <c:pt idx="32">
                  <c:v>10.3978063635887</c:v>
                </c:pt>
                <c:pt idx="33">
                  <c:v>10.7227378124508</c:v>
                </c:pt>
                <c:pt idx="34">
                  <c:v>11.047669261313</c:v>
                </c:pt>
                <c:pt idx="35">
                  <c:v>11.3726007101751</c:v>
                </c:pt>
                <c:pt idx="36">
                  <c:v>11.6975321590373</c:v>
                </c:pt>
                <c:pt idx="37">
                  <c:v>12.0224636078994</c:v>
                </c:pt>
                <c:pt idx="38">
                  <c:v>12.3473950567615</c:v>
                </c:pt>
                <c:pt idx="39">
                  <c:v>12.6723265056237</c:v>
                </c:pt>
                <c:pt idx="40">
                  <c:v>12.9972579544858</c:v>
                </c:pt>
                <c:pt idx="41">
                  <c:v>13.322189403348</c:v>
                </c:pt>
                <c:pt idx="42">
                  <c:v>13.6471208522101</c:v>
                </c:pt>
                <c:pt idx="43">
                  <c:v>13.9720523010723</c:v>
                </c:pt>
                <c:pt idx="44">
                  <c:v>14.2969837499344</c:v>
                </c:pt>
                <c:pt idx="45">
                  <c:v>14.6219151987966</c:v>
                </c:pt>
                <c:pt idx="46">
                  <c:v>14.9468466476587</c:v>
                </c:pt>
                <c:pt idx="47">
                  <c:v>15.2717780965209</c:v>
                </c:pt>
                <c:pt idx="48">
                  <c:v>15.596709545383</c:v>
                </c:pt>
                <c:pt idx="49">
                  <c:v>15.9216409942451</c:v>
                </c:pt>
                <c:pt idx="50">
                  <c:v>16.2465724431073</c:v>
                </c:pt>
                <c:pt idx="51">
                  <c:v>16.5715038919694</c:v>
                </c:pt>
                <c:pt idx="52">
                  <c:v>16.8964353408316</c:v>
                </c:pt>
                <c:pt idx="53">
                  <c:v>17.2213667896937</c:v>
                </c:pt>
                <c:pt idx="54">
                  <c:v>17.5462982385559</c:v>
                </c:pt>
                <c:pt idx="55">
                  <c:v>17.871229687418</c:v>
                </c:pt>
                <c:pt idx="56">
                  <c:v>18.1961611362802</c:v>
                </c:pt>
                <c:pt idx="57">
                  <c:v>18.5210925851423</c:v>
                </c:pt>
                <c:pt idx="58">
                  <c:v>18.8460240340045</c:v>
                </c:pt>
                <c:pt idx="59">
                  <c:v>19.1709554828666</c:v>
                </c:pt>
                <c:pt idx="60">
                  <c:v>19.4958869317287</c:v>
                </c:pt>
                <c:pt idx="61">
                  <c:v>19.8208183805909</c:v>
                </c:pt>
                <c:pt idx="62">
                  <c:v>20.145749829453</c:v>
                </c:pt>
                <c:pt idx="63">
                  <c:v>20.4706812783152</c:v>
                </c:pt>
                <c:pt idx="64">
                  <c:v>20.7956127271773</c:v>
                </c:pt>
                <c:pt idx="65">
                  <c:v>21.1205441760395</c:v>
                </c:pt>
                <c:pt idx="66">
                  <c:v>21.4454756249016</c:v>
                </c:pt>
                <c:pt idx="67">
                  <c:v>21.7704070737638</c:v>
                </c:pt>
                <c:pt idx="68">
                  <c:v>22.0953385226259</c:v>
                </c:pt>
                <c:pt idx="69">
                  <c:v>22.4202699714881</c:v>
                </c:pt>
                <c:pt idx="70">
                  <c:v>22.7452014203502</c:v>
                </c:pt>
                <c:pt idx="71">
                  <c:v>23.0701328692123</c:v>
                </c:pt>
                <c:pt idx="72">
                  <c:v>23.3950643180745</c:v>
                </c:pt>
                <c:pt idx="73">
                  <c:v>23.7199957669366</c:v>
                </c:pt>
                <c:pt idx="74">
                  <c:v>24.0449272157988</c:v>
                </c:pt>
                <c:pt idx="75">
                  <c:v>24.3698586646609</c:v>
                </c:pt>
                <c:pt idx="76">
                  <c:v>24.6947901135231</c:v>
                </c:pt>
                <c:pt idx="77">
                  <c:v>25.0197215623852</c:v>
                </c:pt>
                <c:pt idx="78">
                  <c:v>25.3446530112474</c:v>
                </c:pt>
                <c:pt idx="79">
                  <c:v>25.6695844601095</c:v>
                </c:pt>
                <c:pt idx="80">
                  <c:v>25.9945159089717</c:v>
                </c:pt>
                <c:pt idx="81">
                  <c:v>26.3194473578338</c:v>
                </c:pt>
                <c:pt idx="82">
                  <c:v>26.644378806696</c:v>
                </c:pt>
                <c:pt idx="83">
                  <c:v>26.9693102555581</c:v>
                </c:pt>
                <c:pt idx="84">
                  <c:v>27.2942417044202</c:v>
                </c:pt>
                <c:pt idx="85">
                  <c:v>27.6191731532824</c:v>
                </c:pt>
                <c:pt idx="86">
                  <c:v>27.9441046021445</c:v>
                </c:pt>
                <c:pt idx="87">
                  <c:v>28.2690360510067</c:v>
                </c:pt>
                <c:pt idx="88">
                  <c:v>28.5939674998688</c:v>
                </c:pt>
                <c:pt idx="89">
                  <c:v>28.918898948731</c:v>
                </c:pt>
                <c:pt idx="90">
                  <c:v>29.2438303975931</c:v>
                </c:pt>
                <c:pt idx="91">
                  <c:v>29.5687618464553</c:v>
                </c:pt>
                <c:pt idx="92">
                  <c:v>29.8936932953174</c:v>
                </c:pt>
                <c:pt idx="93">
                  <c:v>30.2186247441796</c:v>
                </c:pt>
                <c:pt idx="94">
                  <c:v>30.5435561930417</c:v>
                </c:pt>
                <c:pt idx="95">
                  <c:v>30.8684876419038</c:v>
                </c:pt>
                <c:pt idx="96">
                  <c:v>31.193419090766</c:v>
                </c:pt>
                <c:pt idx="97">
                  <c:v>31.5183505396281</c:v>
                </c:pt>
                <c:pt idx="98">
                  <c:v>31.8432819884903</c:v>
                </c:pt>
                <c:pt idx="99">
                  <c:v>32.1682134373524</c:v>
                </c:pt>
              </c:numCache>
            </c:numRef>
          </c:xVal>
          <c:yVal>
            <c:numRef>
              <c:f>'Little finger results'!$L$3:$L$102</c:f>
              <c:numCache>
                <c:formatCode>General</c:formatCode>
                <c:ptCount val="100"/>
                <c:pt idx="0">
                  <c:v>0</c:v>
                </c:pt>
                <c:pt idx="1">
                  <c:v>0.527354945725943</c:v>
                </c:pt>
                <c:pt idx="2">
                  <c:v>0.927769314095767</c:v>
                </c:pt>
                <c:pt idx="3">
                  <c:v>1.27877175284334</c:v>
                </c:pt>
                <c:pt idx="4">
                  <c:v>1.56851182125509</c:v>
                </c:pt>
                <c:pt idx="5">
                  <c:v>1.84854727433876</c:v>
                </c:pt>
                <c:pt idx="6">
                  <c:v>2.09386818644835</c:v>
                </c:pt>
                <c:pt idx="7">
                  <c:v>2.33918909855794</c:v>
                </c:pt>
                <c:pt idx="8">
                  <c:v>2.55688977449831</c:v>
                </c:pt>
                <c:pt idx="9">
                  <c:v>2.77325473390128</c:v>
                </c:pt>
                <c:pt idx="10">
                  <c:v>2.98227078638364</c:v>
                </c:pt>
                <c:pt idx="11">
                  <c:v>3.17960662666585</c:v>
                </c:pt>
                <c:pt idx="12">
                  <c:v>3.37694246694806</c:v>
                </c:pt>
                <c:pt idx="13">
                  <c:v>3.5673167473486</c:v>
                </c:pt>
                <c:pt idx="14">
                  <c:v>3.75245885928748</c:v>
                </c:pt>
                <c:pt idx="15">
                  <c:v>3.93760097122636</c:v>
                </c:pt>
                <c:pt idx="16">
                  <c:v>4.11862438275654</c:v>
                </c:pt>
                <c:pt idx="17">
                  <c:v>4.29654343156524</c:v>
                </c:pt>
                <c:pt idx="18">
                  <c:v>4.47446248037395</c:v>
                </c:pt>
                <c:pt idx="19">
                  <c:v>4.65083896999981</c:v>
                </c:pt>
                <c:pt idx="20">
                  <c:v>4.82531247222758</c:v>
                </c:pt>
                <c:pt idx="21">
                  <c:v>4.99978597445536</c:v>
                </c:pt>
                <c:pt idx="22">
                  <c:v>5.17413615154084</c:v>
                </c:pt>
                <c:pt idx="23">
                  <c:v>5.34814165070279</c:v>
                </c:pt>
                <c:pt idx="24">
                  <c:v>5.52214714986473</c:v>
                </c:pt>
                <c:pt idx="25">
                  <c:v>5.69629079320982</c:v>
                </c:pt>
                <c:pt idx="26">
                  <c:v>5.87224840729231</c:v>
                </c:pt>
                <c:pt idx="27">
                  <c:v>6.04820602137478</c:v>
                </c:pt>
                <c:pt idx="28">
                  <c:v>6.22416363545727</c:v>
                </c:pt>
                <c:pt idx="29">
                  <c:v>6.40374824458671</c:v>
                </c:pt>
                <c:pt idx="30">
                  <c:v>6.58367655571627</c:v>
                </c:pt>
                <c:pt idx="31">
                  <c:v>6.76360486684583</c:v>
                </c:pt>
                <c:pt idx="32">
                  <c:v>6.94823297067025</c:v>
                </c:pt>
                <c:pt idx="33">
                  <c:v>7.13385254411831</c:v>
                </c:pt>
                <c:pt idx="34">
                  <c:v>7.31947211756637</c:v>
                </c:pt>
                <c:pt idx="35">
                  <c:v>7.51107498462265</c:v>
                </c:pt>
                <c:pt idx="36">
                  <c:v>7.70387900902241</c:v>
                </c:pt>
                <c:pt idx="37">
                  <c:v>7.89668303342218</c:v>
                </c:pt>
                <c:pt idx="38">
                  <c:v>8.09757331141538</c:v>
                </c:pt>
                <c:pt idx="39">
                  <c:v>8.29887701855994</c:v>
                </c:pt>
                <c:pt idx="40">
                  <c:v>8.5020336889954</c:v>
                </c:pt>
                <c:pt idx="41">
                  <c:v>8.71300983530927</c:v>
                </c:pt>
                <c:pt idx="42">
                  <c:v>8.92398598162315</c:v>
                </c:pt>
                <c:pt idx="43">
                  <c:v>9.14095221678239</c:v>
                </c:pt>
                <c:pt idx="44">
                  <c:v>9.3626573470725</c:v>
                </c:pt>
                <c:pt idx="45">
                  <c:v>9.58497592260753</c:v>
                </c:pt>
                <c:pt idx="46">
                  <c:v>9.81837057876112</c:v>
                </c:pt>
                <c:pt idx="47">
                  <c:v>10.0517652349147</c:v>
                </c:pt>
                <c:pt idx="48">
                  <c:v>10.2936091064235</c:v>
                </c:pt>
                <c:pt idx="49">
                  <c:v>10.5395741677234</c:v>
                </c:pt>
                <c:pt idx="50">
                  <c:v>10.7910738588799</c:v>
                </c:pt>
                <c:pt idx="51">
                  <c:v>11.0504245760948</c:v>
                </c:pt>
                <c:pt idx="52">
                  <c:v>11.3136147255491</c:v>
                </c:pt>
                <c:pt idx="53">
                  <c:v>11.587113605499</c:v>
                </c:pt>
                <c:pt idx="54">
                  <c:v>11.8641826540856</c:v>
                </c:pt>
                <c:pt idx="55">
                  <c:v>12.152552084929</c:v>
                </c:pt>
                <c:pt idx="56">
                  <c:v>12.445802079528</c:v>
                </c:pt>
                <c:pt idx="57">
                  <c:v>12.7497374083286</c:v>
                </c:pt>
                <c:pt idx="58">
                  <c:v>13.0615640230329</c:v>
                </c:pt>
                <c:pt idx="59">
                  <c:v>13.3817476709404</c:v>
                </c:pt>
                <c:pt idx="60">
                  <c:v>13.7146407634517</c:v>
                </c:pt>
                <c:pt idx="61">
                  <c:v>14.0535674729166</c:v>
                </c:pt>
                <c:pt idx="62">
                  <c:v>14.4083234144044</c:v>
                </c:pt>
                <c:pt idx="63">
                  <c:v>14.7729437805549</c:v>
                </c:pt>
                <c:pt idx="64">
                  <c:v>15.1469994627016</c:v>
                </c:pt>
                <c:pt idx="65">
                  <c:v>15.5393311744193</c:v>
                </c:pt>
                <c:pt idx="66">
                  <c:v>15.9443499941806</c:v>
                </c:pt>
                <c:pt idx="67">
                  <c:v>16.362769026438</c:v>
                </c:pt>
                <c:pt idx="68">
                  <c:v>16.7963443073628</c:v>
                </c:pt>
                <c:pt idx="69">
                  <c:v>17.2520861686193</c:v>
                </c:pt>
                <c:pt idx="70">
                  <c:v>17.726287102441</c:v>
                </c:pt>
                <c:pt idx="71">
                  <c:v>18.2212201765549</c:v>
                </c:pt>
                <c:pt idx="72">
                  <c:v>18.7395406903358</c:v>
                </c:pt>
                <c:pt idx="73">
                  <c:v>19.2842857097594</c:v>
                </c:pt>
                <c:pt idx="74">
                  <c:v>19.8589362435569</c:v>
                </c:pt>
                <c:pt idx="75">
                  <c:v>20.4674613798899</c:v>
                </c:pt>
                <c:pt idx="76">
                  <c:v>21.1143291298521</c:v>
                </c:pt>
                <c:pt idx="77">
                  <c:v>21.805024776343</c:v>
                </c:pt>
                <c:pt idx="78">
                  <c:v>22.5544717366184</c:v>
                </c:pt>
                <c:pt idx="79">
                  <c:v>23.3610440199507</c:v>
                </c:pt>
                <c:pt idx="80">
                  <c:v>24.2422107145669</c:v>
                </c:pt>
                <c:pt idx="81">
                  <c:v>25.2031456690538</c:v>
                </c:pt>
                <c:pt idx="82">
                  <c:v>26.2588181812898</c:v>
                </c:pt>
                <c:pt idx="83">
                  <c:v>27.4194628296133</c:v>
                </c:pt>
                <c:pt idx="84">
                  <c:v>28.6883946261846</c:v>
                </c:pt>
                <c:pt idx="85">
                  <c:v>30.0614770670017</c:v>
                </c:pt>
                <c:pt idx="86">
                  <c:v>31.5342046327999</c:v>
                </c:pt>
                <c:pt idx="87">
                  <c:v>33.086976386157</c:v>
                </c:pt>
                <c:pt idx="88">
                  <c:v>34.6994903674607</c:v>
                </c:pt>
                <c:pt idx="89">
                  <c:v>36.3489396445203</c:v>
                </c:pt>
                <c:pt idx="90">
                  <c:v>38.0155557431366</c:v>
                </c:pt>
                <c:pt idx="91">
                  <c:v>39.6863468810221</c:v>
                </c:pt>
                <c:pt idx="92">
                  <c:v>41.3548069195345</c:v>
                </c:pt>
                <c:pt idx="93">
                  <c:v>43.0161425767194</c:v>
                </c:pt>
                <c:pt idx="94">
                  <c:v>44.6633183463995</c:v>
                </c:pt>
                <c:pt idx="95">
                  <c:v>46.287289337191</c:v>
                </c:pt>
                <c:pt idx="96">
                  <c:v>47.8781817994328</c:v>
                </c:pt>
                <c:pt idx="97">
                  <c:v>49.4253948585457</c:v>
                </c:pt>
                <c:pt idx="98">
                  <c:v>50.9192940665062</c:v>
                </c:pt>
                <c:pt idx="99">
                  <c:v>52.3505055695645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'Little finger results'!$M$2</c:f>
              <c:strCache>
                <c:ptCount val="1"/>
                <c:pt idx="0">
                  <c:v>45 deg deflection line</c:v>
                </c:pt>
              </c:strCache>
            </c:strRef>
          </c:tx>
          <c:spPr>
            <a:ln w="12600" cap="rnd" cmpd="sng" algn="ctr">
              <a:solidFill>
                <a:srgbClr val="4472C4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xVal>
            <c:numRef>
              <c:f>'Little finger results'!$H$3:$H$102</c:f>
              <c:numCache>
                <c:formatCode>General</c:formatCode>
                <c:ptCount val="100"/>
                <c:pt idx="0">
                  <c:v>0</c:v>
                </c:pt>
                <c:pt idx="1">
                  <c:v>0.324931448862147</c:v>
                </c:pt>
                <c:pt idx="2">
                  <c:v>0.649862897724295</c:v>
                </c:pt>
                <c:pt idx="3">
                  <c:v>0.974794346586435</c:v>
                </c:pt>
                <c:pt idx="4">
                  <c:v>1.29972579544858</c:v>
                </c:pt>
                <c:pt idx="5">
                  <c:v>1.62465724431073</c:v>
                </c:pt>
                <c:pt idx="6">
                  <c:v>1.94958869317288</c:v>
                </c:pt>
                <c:pt idx="7">
                  <c:v>2.27452014203502</c:v>
                </c:pt>
                <c:pt idx="8">
                  <c:v>2.59945159089716</c:v>
                </c:pt>
                <c:pt idx="9">
                  <c:v>2.92438303975931</c:v>
                </c:pt>
                <c:pt idx="10">
                  <c:v>3.24931448862146</c:v>
                </c:pt>
                <c:pt idx="11">
                  <c:v>3.57424593748361</c:v>
                </c:pt>
                <c:pt idx="12">
                  <c:v>3.89917738634575</c:v>
                </c:pt>
                <c:pt idx="13">
                  <c:v>4.22410883520789</c:v>
                </c:pt>
                <c:pt idx="14">
                  <c:v>4.54904028407004</c:v>
                </c:pt>
                <c:pt idx="15">
                  <c:v>4.87397173293219</c:v>
                </c:pt>
                <c:pt idx="16">
                  <c:v>5.19890318179434</c:v>
                </c:pt>
                <c:pt idx="17">
                  <c:v>5.52383463065647</c:v>
                </c:pt>
                <c:pt idx="18">
                  <c:v>5.84876607951862</c:v>
                </c:pt>
                <c:pt idx="19">
                  <c:v>6.17369752838077</c:v>
                </c:pt>
                <c:pt idx="20">
                  <c:v>6.49862897724292</c:v>
                </c:pt>
                <c:pt idx="21">
                  <c:v>6.82356042610507</c:v>
                </c:pt>
                <c:pt idx="22">
                  <c:v>7.1484918749672</c:v>
                </c:pt>
                <c:pt idx="23">
                  <c:v>7.47342332382935</c:v>
                </c:pt>
                <c:pt idx="24">
                  <c:v>7.7983547726915</c:v>
                </c:pt>
                <c:pt idx="25">
                  <c:v>8.12328622155365</c:v>
                </c:pt>
                <c:pt idx="26">
                  <c:v>8.44821767041579</c:v>
                </c:pt>
                <c:pt idx="27">
                  <c:v>8.77314911927794</c:v>
                </c:pt>
                <c:pt idx="28">
                  <c:v>9.09808056814008</c:v>
                </c:pt>
                <c:pt idx="29">
                  <c:v>9.42301201700223</c:v>
                </c:pt>
                <c:pt idx="30">
                  <c:v>9.74794346586437</c:v>
                </c:pt>
                <c:pt idx="31">
                  <c:v>10.0728749147265</c:v>
                </c:pt>
                <c:pt idx="32">
                  <c:v>10.3978063635887</c:v>
                </c:pt>
                <c:pt idx="33">
                  <c:v>10.7227378124508</c:v>
                </c:pt>
                <c:pt idx="34">
                  <c:v>11.047669261313</c:v>
                </c:pt>
                <c:pt idx="35">
                  <c:v>11.3726007101751</c:v>
                </c:pt>
                <c:pt idx="36">
                  <c:v>11.6975321590373</c:v>
                </c:pt>
                <c:pt idx="37">
                  <c:v>12.0224636078994</c:v>
                </c:pt>
                <c:pt idx="38">
                  <c:v>12.3473950567615</c:v>
                </c:pt>
                <c:pt idx="39">
                  <c:v>12.6723265056237</c:v>
                </c:pt>
                <c:pt idx="40">
                  <c:v>12.9972579544858</c:v>
                </c:pt>
                <c:pt idx="41">
                  <c:v>13.322189403348</c:v>
                </c:pt>
                <c:pt idx="42">
                  <c:v>13.6471208522101</c:v>
                </c:pt>
                <c:pt idx="43">
                  <c:v>13.9720523010723</c:v>
                </c:pt>
                <c:pt idx="44">
                  <c:v>14.2969837499344</c:v>
                </c:pt>
                <c:pt idx="45">
                  <c:v>14.6219151987966</c:v>
                </c:pt>
                <c:pt idx="46">
                  <c:v>14.9468466476587</c:v>
                </c:pt>
                <c:pt idx="47">
                  <c:v>15.2717780965209</c:v>
                </c:pt>
                <c:pt idx="48">
                  <c:v>15.596709545383</c:v>
                </c:pt>
                <c:pt idx="49">
                  <c:v>15.9216409942451</c:v>
                </c:pt>
                <c:pt idx="50">
                  <c:v>16.2465724431073</c:v>
                </c:pt>
                <c:pt idx="51">
                  <c:v>16.5715038919694</c:v>
                </c:pt>
                <c:pt idx="52">
                  <c:v>16.8964353408316</c:v>
                </c:pt>
                <c:pt idx="53">
                  <c:v>17.2213667896937</c:v>
                </c:pt>
                <c:pt idx="54">
                  <c:v>17.5462982385559</c:v>
                </c:pt>
                <c:pt idx="55">
                  <c:v>17.871229687418</c:v>
                </c:pt>
                <c:pt idx="56">
                  <c:v>18.1961611362802</c:v>
                </c:pt>
                <c:pt idx="57">
                  <c:v>18.5210925851423</c:v>
                </c:pt>
                <c:pt idx="58">
                  <c:v>18.8460240340045</c:v>
                </c:pt>
                <c:pt idx="59">
                  <c:v>19.1709554828666</c:v>
                </c:pt>
                <c:pt idx="60">
                  <c:v>19.4958869317287</c:v>
                </c:pt>
                <c:pt idx="61">
                  <c:v>19.8208183805909</c:v>
                </c:pt>
                <c:pt idx="62">
                  <c:v>20.145749829453</c:v>
                </c:pt>
                <c:pt idx="63">
                  <c:v>20.4706812783152</c:v>
                </c:pt>
                <c:pt idx="64">
                  <c:v>20.7956127271773</c:v>
                </c:pt>
                <c:pt idx="65">
                  <c:v>21.1205441760395</c:v>
                </c:pt>
                <c:pt idx="66">
                  <c:v>21.4454756249016</c:v>
                </c:pt>
                <c:pt idx="67">
                  <c:v>21.7704070737638</c:v>
                </c:pt>
                <c:pt idx="68">
                  <c:v>22.0953385226259</c:v>
                </c:pt>
                <c:pt idx="69">
                  <c:v>22.4202699714881</c:v>
                </c:pt>
                <c:pt idx="70">
                  <c:v>22.7452014203502</c:v>
                </c:pt>
                <c:pt idx="71">
                  <c:v>23.0701328692123</c:v>
                </c:pt>
                <c:pt idx="72">
                  <c:v>23.3950643180745</c:v>
                </c:pt>
                <c:pt idx="73">
                  <c:v>23.7199957669366</c:v>
                </c:pt>
                <c:pt idx="74">
                  <c:v>24.0449272157988</c:v>
                </c:pt>
                <c:pt idx="75">
                  <c:v>24.3698586646609</c:v>
                </c:pt>
                <c:pt idx="76">
                  <c:v>24.6947901135231</c:v>
                </c:pt>
                <c:pt idx="77">
                  <c:v>25.0197215623852</c:v>
                </c:pt>
                <c:pt idx="78">
                  <c:v>25.3446530112474</c:v>
                </c:pt>
                <c:pt idx="79">
                  <c:v>25.6695844601095</c:v>
                </c:pt>
                <c:pt idx="80">
                  <c:v>25.9945159089717</c:v>
                </c:pt>
                <c:pt idx="81">
                  <c:v>26.3194473578338</c:v>
                </c:pt>
                <c:pt idx="82">
                  <c:v>26.644378806696</c:v>
                </c:pt>
                <c:pt idx="83">
                  <c:v>26.9693102555581</c:v>
                </c:pt>
                <c:pt idx="84">
                  <c:v>27.2942417044202</c:v>
                </c:pt>
                <c:pt idx="85">
                  <c:v>27.6191731532824</c:v>
                </c:pt>
                <c:pt idx="86">
                  <c:v>27.9441046021445</c:v>
                </c:pt>
                <c:pt idx="87">
                  <c:v>28.2690360510067</c:v>
                </c:pt>
                <c:pt idx="88">
                  <c:v>28.5939674998688</c:v>
                </c:pt>
                <c:pt idx="89">
                  <c:v>28.918898948731</c:v>
                </c:pt>
                <c:pt idx="90">
                  <c:v>29.2438303975931</c:v>
                </c:pt>
                <c:pt idx="91">
                  <c:v>29.5687618464553</c:v>
                </c:pt>
                <c:pt idx="92">
                  <c:v>29.8936932953174</c:v>
                </c:pt>
                <c:pt idx="93">
                  <c:v>30.2186247441796</c:v>
                </c:pt>
                <c:pt idx="94">
                  <c:v>30.5435561930417</c:v>
                </c:pt>
                <c:pt idx="95">
                  <c:v>30.8684876419038</c:v>
                </c:pt>
                <c:pt idx="96">
                  <c:v>31.193419090766</c:v>
                </c:pt>
                <c:pt idx="97">
                  <c:v>31.5183505396281</c:v>
                </c:pt>
                <c:pt idx="98">
                  <c:v>31.8432819884903</c:v>
                </c:pt>
                <c:pt idx="99">
                  <c:v>32.1682134373524</c:v>
                </c:pt>
              </c:numCache>
            </c:numRef>
          </c:xVal>
          <c:yVal>
            <c:numRef>
              <c:f>'Little finger results'!$M$3:$M$102</c:f>
              <c:numCache>
                <c:formatCode>General</c:formatCode>
                <c:ptCount val="10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45</c:v>
                </c:pt>
                <c:pt idx="7">
                  <c:v>45</c:v>
                </c:pt>
                <c:pt idx="8">
                  <c:v>45</c:v>
                </c:pt>
                <c:pt idx="9">
                  <c:v>45</c:v>
                </c:pt>
                <c:pt idx="10">
                  <c:v>45</c:v>
                </c:pt>
                <c:pt idx="11">
                  <c:v>45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45</c:v>
                </c:pt>
                <c:pt idx="17">
                  <c:v>45</c:v>
                </c:pt>
                <c:pt idx="18">
                  <c:v>45</c:v>
                </c:pt>
                <c:pt idx="19">
                  <c:v>45</c:v>
                </c:pt>
                <c:pt idx="20">
                  <c:v>45</c:v>
                </c:pt>
                <c:pt idx="21">
                  <c:v>45</c:v>
                </c:pt>
                <c:pt idx="22">
                  <c:v>45</c:v>
                </c:pt>
                <c:pt idx="23">
                  <c:v>45</c:v>
                </c:pt>
                <c:pt idx="24">
                  <c:v>45</c:v>
                </c:pt>
                <c:pt idx="25">
                  <c:v>45</c:v>
                </c:pt>
                <c:pt idx="26">
                  <c:v>45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45</c:v>
                </c:pt>
                <c:pt idx="31">
                  <c:v>45</c:v>
                </c:pt>
                <c:pt idx="32">
                  <c:v>45</c:v>
                </c:pt>
                <c:pt idx="33">
                  <c:v>45</c:v>
                </c:pt>
                <c:pt idx="34">
                  <c:v>45</c:v>
                </c:pt>
                <c:pt idx="35">
                  <c:v>45</c:v>
                </c:pt>
                <c:pt idx="36">
                  <c:v>45</c:v>
                </c:pt>
                <c:pt idx="37">
                  <c:v>45</c:v>
                </c:pt>
                <c:pt idx="38">
                  <c:v>45</c:v>
                </c:pt>
                <c:pt idx="39">
                  <c:v>45</c:v>
                </c:pt>
                <c:pt idx="40">
                  <c:v>45</c:v>
                </c:pt>
                <c:pt idx="41">
                  <c:v>45</c:v>
                </c:pt>
                <c:pt idx="42">
                  <c:v>45</c:v>
                </c:pt>
                <c:pt idx="43">
                  <c:v>45</c:v>
                </c:pt>
                <c:pt idx="44">
                  <c:v>45</c:v>
                </c:pt>
                <c:pt idx="45">
                  <c:v>45</c:v>
                </c:pt>
                <c:pt idx="46">
                  <c:v>45</c:v>
                </c:pt>
                <c:pt idx="47">
                  <c:v>45</c:v>
                </c:pt>
                <c:pt idx="48">
                  <c:v>45</c:v>
                </c:pt>
                <c:pt idx="49">
                  <c:v>45</c:v>
                </c:pt>
                <c:pt idx="50">
                  <c:v>45</c:v>
                </c:pt>
                <c:pt idx="51">
                  <c:v>45</c:v>
                </c:pt>
                <c:pt idx="52">
                  <c:v>45</c:v>
                </c:pt>
                <c:pt idx="53">
                  <c:v>45</c:v>
                </c:pt>
                <c:pt idx="54">
                  <c:v>45</c:v>
                </c:pt>
                <c:pt idx="55">
                  <c:v>45</c:v>
                </c:pt>
                <c:pt idx="56">
                  <c:v>45</c:v>
                </c:pt>
                <c:pt idx="57">
                  <c:v>45</c:v>
                </c:pt>
                <c:pt idx="58">
                  <c:v>45</c:v>
                </c:pt>
                <c:pt idx="59">
                  <c:v>45</c:v>
                </c:pt>
                <c:pt idx="60">
                  <c:v>45</c:v>
                </c:pt>
                <c:pt idx="61">
                  <c:v>45</c:v>
                </c:pt>
                <c:pt idx="62">
                  <c:v>45</c:v>
                </c:pt>
                <c:pt idx="63">
                  <c:v>45</c:v>
                </c:pt>
                <c:pt idx="64">
                  <c:v>45</c:v>
                </c:pt>
                <c:pt idx="65">
                  <c:v>45</c:v>
                </c:pt>
                <c:pt idx="66">
                  <c:v>45</c:v>
                </c:pt>
                <c:pt idx="67">
                  <c:v>45</c:v>
                </c:pt>
                <c:pt idx="68">
                  <c:v>45</c:v>
                </c:pt>
                <c:pt idx="69">
                  <c:v>45</c:v>
                </c:pt>
                <c:pt idx="70">
                  <c:v>45</c:v>
                </c:pt>
                <c:pt idx="71">
                  <c:v>45</c:v>
                </c:pt>
                <c:pt idx="72">
                  <c:v>45</c:v>
                </c:pt>
                <c:pt idx="73">
                  <c:v>45</c:v>
                </c:pt>
                <c:pt idx="74">
                  <c:v>45</c:v>
                </c:pt>
                <c:pt idx="75">
                  <c:v>45</c:v>
                </c:pt>
                <c:pt idx="76">
                  <c:v>45</c:v>
                </c:pt>
                <c:pt idx="77">
                  <c:v>45</c:v>
                </c:pt>
                <c:pt idx="78">
                  <c:v>45</c:v>
                </c:pt>
                <c:pt idx="79">
                  <c:v>45</c:v>
                </c:pt>
                <c:pt idx="80">
                  <c:v>45</c:v>
                </c:pt>
                <c:pt idx="81">
                  <c:v>45</c:v>
                </c:pt>
                <c:pt idx="82">
                  <c:v>45</c:v>
                </c:pt>
                <c:pt idx="83">
                  <c:v>45</c:v>
                </c:pt>
                <c:pt idx="84">
                  <c:v>45</c:v>
                </c:pt>
                <c:pt idx="85">
                  <c:v>45</c:v>
                </c:pt>
                <c:pt idx="86">
                  <c:v>45</c:v>
                </c:pt>
                <c:pt idx="87">
                  <c:v>45</c:v>
                </c:pt>
                <c:pt idx="88">
                  <c:v>45</c:v>
                </c:pt>
                <c:pt idx="89">
                  <c:v>45</c:v>
                </c:pt>
                <c:pt idx="90">
                  <c:v>45</c:v>
                </c:pt>
                <c:pt idx="91">
                  <c:v>45</c:v>
                </c:pt>
                <c:pt idx="92">
                  <c:v>45</c:v>
                </c:pt>
                <c:pt idx="93">
                  <c:v>45</c:v>
                </c:pt>
                <c:pt idx="94">
                  <c:v>45</c:v>
                </c:pt>
                <c:pt idx="95">
                  <c:v>45</c:v>
                </c:pt>
                <c:pt idx="96">
                  <c:v>45</c:v>
                </c:pt>
                <c:pt idx="97">
                  <c:v>45</c:v>
                </c:pt>
                <c:pt idx="98">
                  <c:v>45</c:v>
                </c:pt>
                <c:pt idx="99">
                  <c:v>45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axId val="95161512"/>
        <c:axId val="32251608"/>
      </c:scatterChart>
      <c:valAx>
        <c:axId val="95161512"/>
        <c:scaling>
          <c:orientation val="minMax"/>
        </c:scaling>
        <c:delete val="0"/>
        <c:axPos val="b"/>
        <c:majorGridlines>
          <c:spPr>
            <a:ln w="9360" cap="flat" cmpd="sng" algn="ctr">
              <a:solidFill>
                <a:srgbClr val="D9D9D9"/>
              </a:solidFill>
              <a:prstDash val="solid"/>
              <a:round/>
            </a:ln>
          </c:spPr>
        </c:majorGridlines>
        <c:minorGridlines>
          <c:spPr>
            <a:ln w="9360" cap="flat" cmpd="sng" algn="ctr">
              <a:solidFill>
                <a:srgbClr val="F2F2F2"/>
              </a:solidFill>
              <a:prstDash val="solid"/>
              <a:round/>
            </a:ln>
          </c:spPr>
        </c:minorGridlines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BFBFB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spc="-1" baseline="0">
                <a:solidFill>
                  <a:srgbClr val="595959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32251608"/>
        <c:crosses val="autoZero"/>
        <c:crossBetween val="midCat"/>
      </c:valAx>
      <c:valAx>
        <c:axId val="32251608"/>
        <c:scaling>
          <c:orientation val="minMax"/>
          <c:max val="140"/>
          <c:min val="0"/>
        </c:scaling>
        <c:delete val="0"/>
        <c:axPos val="l"/>
        <c:majorGridlines>
          <c:spPr>
            <a:ln w="9360" cap="flat" cmpd="sng" algn="ctr">
              <a:solidFill>
                <a:srgbClr val="D9D9D9"/>
              </a:solidFill>
              <a:prstDash val="solid"/>
              <a:round/>
            </a:ln>
          </c:spPr>
        </c:majorGridlines>
        <c:minorGridlines>
          <c:spPr>
            <a:ln w="9360" cap="flat" cmpd="sng" algn="ctr">
              <a:solidFill>
                <a:srgbClr val="F2F2F2"/>
              </a:solidFill>
              <a:prstDash val="solid"/>
              <a:round/>
            </a:ln>
          </c:spPr>
        </c:minorGridlines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BFBFB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spc="-1" baseline="0">
                <a:solidFill>
                  <a:srgbClr val="595959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95161512"/>
        <c:crosses val="autoZero"/>
        <c:crossBetween val="midCat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spc="-1" baseline="0">
              <a:solidFill>
                <a:srgbClr val="595959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IN" sz="1400" b="0" i="0" u="none" strike="noStrike" kern="1200" spc="-1" baseline="0">
                <a:solidFill>
                  <a:srgbClr val="595959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lang="en-IN" sz="1400" b="0" strike="noStrike" spc="-1">
                <a:solidFill>
                  <a:srgbClr val="595959"/>
                </a:solidFill>
                <a:latin typeface="Calibri" panose="020F0502020204030204"/>
              </a:rPr>
              <a:t>Allowed angular deflections before length optimization</a:t>
            </a:r>
            <a:endParaRPr lang="en-IN" sz="1400" b="0" strike="noStrike" spc="-1">
              <a:solidFill>
                <a:srgbClr val="595959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scatterChart>
        <c:scatterStyle val="line"/>
        <c:varyColors val="0"/>
        <c:ser>
          <c:idx val="0"/>
          <c:order val="0"/>
          <c:tx>
            <c:strRef>
              <c:f>'Little finger results'!$B$2</c:f>
              <c:strCache>
                <c:ptCount val="1"/>
                <c:pt idx="0">
                  <c:v>Theta0</c:v>
                </c:pt>
              </c:strCache>
            </c:strRef>
          </c:tx>
          <c:spPr>
            <a:ln w="19080" cap="rnd" cmpd="sng" algn="ctr">
              <a:solidFill>
                <a:srgbClr val="5B9BD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xVal>
            <c:numRef>
              <c:f>'Little finger results'!$A$3:$A$102</c:f>
              <c:numCache>
                <c:formatCode>General</c:formatCode>
                <c:ptCount val="100"/>
                <c:pt idx="0">
                  <c:v>0</c:v>
                </c:pt>
                <c:pt idx="1">
                  <c:v>0.244323114315042</c:v>
                </c:pt>
                <c:pt idx="2">
                  <c:v>0.488646228630084</c:v>
                </c:pt>
                <c:pt idx="3">
                  <c:v>0.732969342945126</c:v>
                </c:pt>
                <c:pt idx="4">
                  <c:v>0.977292457260167</c:v>
                </c:pt>
                <c:pt idx="5">
                  <c:v>1.22161557157521</c:v>
                </c:pt>
                <c:pt idx="6">
                  <c:v>1.46593868589025</c:v>
                </c:pt>
                <c:pt idx="7">
                  <c:v>1.71026180020529</c:v>
                </c:pt>
                <c:pt idx="8">
                  <c:v>1.95458491452033</c:v>
                </c:pt>
                <c:pt idx="9">
                  <c:v>2.19890802883538</c:v>
                </c:pt>
                <c:pt idx="10">
                  <c:v>2.44323114315042</c:v>
                </c:pt>
                <c:pt idx="11">
                  <c:v>2.68755425746546</c:v>
                </c:pt>
                <c:pt idx="12">
                  <c:v>2.9318773717805</c:v>
                </c:pt>
                <c:pt idx="13">
                  <c:v>3.17620048609554</c:v>
                </c:pt>
                <c:pt idx="14">
                  <c:v>3.42052360041058</c:v>
                </c:pt>
                <c:pt idx="15">
                  <c:v>3.66484671472562</c:v>
                </c:pt>
                <c:pt idx="16">
                  <c:v>3.90916982904067</c:v>
                </c:pt>
                <c:pt idx="17">
                  <c:v>4.15349294335571</c:v>
                </c:pt>
                <c:pt idx="18">
                  <c:v>4.39781605767075</c:v>
                </c:pt>
                <c:pt idx="19">
                  <c:v>4.64213917198579</c:v>
                </c:pt>
                <c:pt idx="20">
                  <c:v>4.88646228630083</c:v>
                </c:pt>
                <c:pt idx="21">
                  <c:v>5.13078540061587</c:v>
                </c:pt>
                <c:pt idx="22">
                  <c:v>5.37510851493092</c:v>
                </c:pt>
                <c:pt idx="23">
                  <c:v>5.61943162924596</c:v>
                </c:pt>
                <c:pt idx="24">
                  <c:v>5.863754743561</c:v>
                </c:pt>
                <c:pt idx="25">
                  <c:v>6.10807785787604</c:v>
                </c:pt>
                <c:pt idx="26">
                  <c:v>6.35240097219108</c:v>
                </c:pt>
                <c:pt idx="27">
                  <c:v>6.59672408650613</c:v>
                </c:pt>
                <c:pt idx="28">
                  <c:v>6.84104720082116</c:v>
                </c:pt>
                <c:pt idx="29">
                  <c:v>7.08537031513621</c:v>
                </c:pt>
                <c:pt idx="30">
                  <c:v>7.32969342945125</c:v>
                </c:pt>
                <c:pt idx="31">
                  <c:v>7.57401654376629</c:v>
                </c:pt>
                <c:pt idx="32">
                  <c:v>7.81833965808133</c:v>
                </c:pt>
                <c:pt idx="33">
                  <c:v>8.06266277239637</c:v>
                </c:pt>
                <c:pt idx="34">
                  <c:v>8.30698588671141</c:v>
                </c:pt>
                <c:pt idx="35">
                  <c:v>8.55130900102646</c:v>
                </c:pt>
                <c:pt idx="36">
                  <c:v>8.7956321153415</c:v>
                </c:pt>
                <c:pt idx="37">
                  <c:v>9.03995522965654</c:v>
                </c:pt>
                <c:pt idx="38">
                  <c:v>9.28427834397158</c:v>
                </c:pt>
                <c:pt idx="39">
                  <c:v>9.52860145828662</c:v>
                </c:pt>
                <c:pt idx="40">
                  <c:v>9.77292457260167</c:v>
                </c:pt>
                <c:pt idx="41">
                  <c:v>10.0172476869167</c:v>
                </c:pt>
                <c:pt idx="42">
                  <c:v>10.2615708012317</c:v>
                </c:pt>
                <c:pt idx="43">
                  <c:v>10.5058939155468</c:v>
                </c:pt>
                <c:pt idx="44">
                  <c:v>10.7502170298618</c:v>
                </c:pt>
                <c:pt idx="45">
                  <c:v>10.9945401441769</c:v>
                </c:pt>
                <c:pt idx="46">
                  <c:v>11.2388632584919</c:v>
                </c:pt>
                <c:pt idx="47">
                  <c:v>11.483186372807</c:v>
                </c:pt>
                <c:pt idx="48">
                  <c:v>11.727509487122</c:v>
                </c:pt>
                <c:pt idx="49">
                  <c:v>11.971832601437</c:v>
                </c:pt>
                <c:pt idx="50">
                  <c:v>12.2161557157521</c:v>
                </c:pt>
                <c:pt idx="51">
                  <c:v>12.4604788300671</c:v>
                </c:pt>
                <c:pt idx="52">
                  <c:v>12.7048019443822</c:v>
                </c:pt>
                <c:pt idx="53">
                  <c:v>12.9491250586972</c:v>
                </c:pt>
                <c:pt idx="54">
                  <c:v>13.1934481730122</c:v>
                </c:pt>
                <c:pt idx="55">
                  <c:v>13.4377712873273</c:v>
                </c:pt>
                <c:pt idx="56">
                  <c:v>13.6820944016423</c:v>
                </c:pt>
                <c:pt idx="57">
                  <c:v>13.9264175159574</c:v>
                </c:pt>
                <c:pt idx="58">
                  <c:v>14.1707406302724</c:v>
                </c:pt>
                <c:pt idx="59">
                  <c:v>14.4150637445875</c:v>
                </c:pt>
                <c:pt idx="60">
                  <c:v>14.6593868589025</c:v>
                </c:pt>
                <c:pt idx="61">
                  <c:v>14.9037099732175</c:v>
                </c:pt>
                <c:pt idx="62">
                  <c:v>15.1480330875326</c:v>
                </c:pt>
                <c:pt idx="63">
                  <c:v>15.3923562018476</c:v>
                </c:pt>
                <c:pt idx="64">
                  <c:v>15.6366793161627</c:v>
                </c:pt>
                <c:pt idx="65">
                  <c:v>15.8810024304777</c:v>
                </c:pt>
                <c:pt idx="66">
                  <c:v>16.1253255447927</c:v>
                </c:pt>
                <c:pt idx="67">
                  <c:v>16.3696486591078</c:v>
                </c:pt>
                <c:pt idx="68">
                  <c:v>16.6139717734228</c:v>
                </c:pt>
                <c:pt idx="69">
                  <c:v>16.8582948877379</c:v>
                </c:pt>
                <c:pt idx="70">
                  <c:v>17.1026180020529</c:v>
                </c:pt>
                <c:pt idx="71">
                  <c:v>17.346941116368</c:v>
                </c:pt>
                <c:pt idx="72">
                  <c:v>17.591264230683</c:v>
                </c:pt>
                <c:pt idx="73">
                  <c:v>17.835587344998</c:v>
                </c:pt>
                <c:pt idx="74">
                  <c:v>18.0799104593131</c:v>
                </c:pt>
                <c:pt idx="75">
                  <c:v>18.3242335736281</c:v>
                </c:pt>
                <c:pt idx="76">
                  <c:v>18.5685566879432</c:v>
                </c:pt>
                <c:pt idx="77">
                  <c:v>18.8128798022582</c:v>
                </c:pt>
                <c:pt idx="78">
                  <c:v>19.0572029165732</c:v>
                </c:pt>
                <c:pt idx="79">
                  <c:v>19.3015260308883</c:v>
                </c:pt>
                <c:pt idx="80">
                  <c:v>19.5458491452033</c:v>
                </c:pt>
                <c:pt idx="81">
                  <c:v>19.7901722595184</c:v>
                </c:pt>
                <c:pt idx="82">
                  <c:v>20.0344953738334</c:v>
                </c:pt>
                <c:pt idx="83">
                  <c:v>20.2788184881485</c:v>
                </c:pt>
                <c:pt idx="84">
                  <c:v>20.5231416024635</c:v>
                </c:pt>
                <c:pt idx="85">
                  <c:v>20.7674647167785</c:v>
                </c:pt>
                <c:pt idx="86">
                  <c:v>21.0117878310936</c:v>
                </c:pt>
                <c:pt idx="87">
                  <c:v>21.2561109454086</c:v>
                </c:pt>
                <c:pt idx="88">
                  <c:v>21.5004340597237</c:v>
                </c:pt>
                <c:pt idx="89">
                  <c:v>21.7447571740387</c:v>
                </c:pt>
                <c:pt idx="90">
                  <c:v>21.9890802883537</c:v>
                </c:pt>
                <c:pt idx="91">
                  <c:v>22.2334034026688</c:v>
                </c:pt>
                <c:pt idx="92">
                  <c:v>22.4777265169838</c:v>
                </c:pt>
                <c:pt idx="93">
                  <c:v>22.7220496312989</c:v>
                </c:pt>
                <c:pt idx="94">
                  <c:v>22.9663727456139</c:v>
                </c:pt>
                <c:pt idx="95">
                  <c:v>23.210695859929</c:v>
                </c:pt>
                <c:pt idx="96">
                  <c:v>23.455018974244</c:v>
                </c:pt>
                <c:pt idx="97">
                  <c:v>23.699342088559</c:v>
                </c:pt>
                <c:pt idx="98">
                  <c:v>23.9436652028741</c:v>
                </c:pt>
                <c:pt idx="99">
                  <c:v>24.1879883171891</c:v>
                </c:pt>
              </c:numCache>
            </c:numRef>
          </c:xVal>
          <c:yVal>
            <c:numRef>
              <c:f>'Little finger results'!$B$3:$B$102</c:f>
              <c:numCache>
                <c:formatCode>General</c:formatCode>
                <c:ptCount val="100"/>
                <c:pt idx="0">
                  <c:v>0</c:v>
                </c:pt>
                <c:pt idx="1">
                  <c:v>0.933245552516283</c:v>
                </c:pt>
                <c:pt idx="2">
                  <c:v>1.86649110503257</c:v>
                </c:pt>
                <c:pt idx="3">
                  <c:v>2.79973665754885</c:v>
                </c:pt>
                <c:pt idx="4">
                  <c:v>3.73298221006513</c:v>
                </c:pt>
                <c:pt idx="5">
                  <c:v>4.66622776258141</c:v>
                </c:pt>
                <c:pt idx="6">
                  <c:v>5.5994733150977</c:v>
                </c:pt>
                <c:pt idx="7">
                  <c:v>6.53271886761398</c:v>
                </c:pt>
                <c:pt idx="8">
                  <c:v>7.46596442013026</c:v>
                </c:pt>
                <c:pt idx="9">
                  <c:v>8.39920997264655</c:v>
                </c:pt>
                <c:pt idx="10">
                  <c:v>9.33245552516283</c:v>
                </c:pt>
                <c:pt idx="11">
                  <c:v>10.2657010776791</c:v>
                </c:pt>
                <c:pt idx="12">
                  <c:v>11.1989466301954</c:v>
                </c:pt>
                <c:pt idx="13">
                  <c:v>12.1321921827117</c:v>
                </c:pt>
                <c:pt idx="14">
                  <c:v>13.0654377352279</c:v>
                </c:pt>
                <c:pt idx="15">
                  <c:v>13.9986832877442</c:v>
                </c:pt>
                <c:pt idx="16">
                  <c:v>14.9319288402605</c:v>
                </c:pt>
                <c:pt idx="17">
                  <c:v>15.8651743927768</c:v>
                </c:pt>
                <c:pt idx="18">
                  <c:v>16.7984199452931</c:v>
                </c:pt>
                <c:pt idx="19">
                  <c:v>17.7316654978094</c:v>
                </c:pt>
                <c:pt idx="20">
                  <c:v>18.6649110503256</c:v>
                </c:pt>
                <c:pt idx="21">
                  <c:v>19.5981566028419</c:v>
                </c:pt>
                <c:pt idx="22">
                  <c:v>20.5314021553582</c:v>
                </c:pt>
                <c:pt idx="23">
                  <c:v>21.4646477078745</c:v>
                </c:pt>
                <c:pt idx="24">
                  <c:v>22.3978932603908</c:v>
                </c:pt>
                <c:pt idx="25">
                  <c:v>23.3311388129071</c:v>
                </c:pt>
                <c:pt idx="26">
                  <c:v>24.2643843654233</c:v>
                </c:pt>
                <c:pt idx="27">
                  <c:v>25.1976299179396</c:v>
                </c:pt>
                <c:pt idx="28">
                  <c:v>26.1308754704559</c:v>
                </c:pt>
                <c:pt idx="29">
                  <c:v>27.0641210229722</c:v>
                </c:pt>
                <c:pt idx="30">
                  <c:v>27.9973665754885</c:v>
                </c:pt>
                <c:pt idx="31">
                  <c:v>28.9306121280048</c:v>
                </c:pt>
                <c:pt idx="32">
                  <c:v>29.863857680521</c:v>
                </c:pt>
                <c:pt idx="33">
                  <c:v>30.7971032330373</c:v>
                </c:pt>
                <c:pt idx="34">
                  <c:v>31.7303487855536</c:v>
                </c:pt>
                <c:pt idx="35">
                  <c:v>32.6635943380699</c:v>
                </c:pt>
                <c:pt idx="36">
                  <c:v>33.5968398905862</c:v>
                </c:pt>
                <c:pt idx="37">
                  <c:v>34.5300854431024</c:v>
                </c:pt>
                <c:pt idx="38">
                  <c:v>35.4633309956187</c:v>
                </c:pt>
                <c:pt idx="39">
                  <c:v>36.396576548135</c:v>
                </c:pt>
                <c:pt idx="40">
                  <c:v>37.3298221006513</c:v>
                </c:pt>
                <c:pt idx="41">
                  <c:v>38.2630676531676</c:v>
                </c:pt>
                <c:pt idx="42">
                  <c:v>39.1963132056839</c:v>
                </c:pt>
                <c:pt idx="43">
                  <c:v>40.1295587582001</c:v>
                </c:pt>
                <c:pt idx="44">
                  <c:v>41.0628043107164</c:v>
                </c:pt>
                <c:pt idx="45">
                  <c:v>41.9960498632327</c:v>
                </c:pt>
                <c:pt idx="46">
                  <c:v>42.929295415749</c:v>
                </c:pt>
                <c:pt idx="47">
                  <c:v>43.8625409682653</c:v>
                </c:pt>
                <c:pt idx="48">
                  <c:v>44.7957865207816</c:v>
                </c:pt>
                <c:pt idx="49">
                  <c:v>45.7290320732978</c:v>
                </c:pt>
                <c:pt idx="50">
                  <c:v>46.6622776258141</c:v>
                </c:pt>
                <c:pt idx="51">
                  <c:v>47.5955231783304</c:v>
                </c:pt>
                <c:pt idx="52">
                  <c:v>48.5287687308467</c:v>
                </c:pt>
                <c:pt idx="53">
                  <c:v>49.462014283363</c:v>
                </c:pt>
                <c:pt idx="54">
                  <c:v>50.3952598358792</c:v>
                </c:pt>
                <c:pt idx="55">
                  <c:v>51.3285053883955</c:v>
                </c:pt>
                <c:pt idx="56">
                  <c:v>52.2617509409118</c:v>
                </c:pt>
                <c:pt idx="57">
                  <c:v>53.1949964934281</c:v>
                </c:pt>
                <c:pt idx="58">
                  <c:v>54.1282420459444</c:v>
                </c:pt>
                <c:pt idx="59">
                  <c:v>55.0614875984606</c:v>
                </c:pt>
                <c:pt idx="60">
                  <c:v>55.9947331509769</c:v>
                </c:pt>
                <c:pt idx="61">
                  <c:v>56.9279787034932</c:v>
                </c:pt>
                <c:pt idx="62">
                  <c:v>57.8612242560095</c:v>
                </c:pt>
                <c:pt idx="63">
                  <c:v>58.7944698085258</c:v>
                </c:pt>
                <c:pt idx="64">
                  <c:v>59.7277153610421</c:v>
                </c:pt>
                <c:pt idx="65">
                  <c:v>60.6609609135583</c:v>
                </c:pt>
                <c:pt idx="66">
                  <c:v>61.5942064660746</c:v>
                </c:pt>
                <c:pt idx="67">
                  <c:v>62.5274520185909</c:v>
                </c:pt>
                <c:pt idx="68">
                  <c:v>63.4606975711072</c:v>
                </c:pt>
                <c:pt idx="69">
                  <c:v>64.3939431236235</c:v>
                </c:pt>
                <c:pt idx="70">
                  <c:v>65.3271886761398</c:v>
                </c:pt>
                <c:pt idx="71">
                  <c:v>66.260434228656</c:v>
                </c:pt>
                <c:pt idx="72">
                  <c:v>67.1936797811723</c:v>
                </c:pt>
                <c:pt idx="73">
                  <c:v>68.1269253336886</c:v>
                </c:pt>
                <c:pt idx="74">
                  <c:v>69.0601708862049</c:v>
                </c:pt>
                <c:pt idx="75">
                  <c:v>69.9934164387212</c:v>
                </c:pt>
                <c:pt idx="76">
                  <c:v>70.9266619912374</c:v>
                </c:pt>
                <c:pt idx="77">
                  <c:v>71.8599075437537</c:v>
                </c:pt>
                <c:pt idx="78">
                  <c:v>72.79315309627</c:v>
                </c:pt>
                <c:pt idx="79">
                  <c:v>73.7263986487863</c:v>
                </c:pt>
                <c:pt idx="80">
                  <c:v>74.6596442013026</c:v>
                </c:pt>
                <c:pt idx="81">
                  <c:v>75.5928897538189</c:v>
                </c:pt>
                <c:pt idx="82">
                  <c:v>76.5261353063351</c:v>
                </c:pt>
                <c:pt idx="83">
                  <c:v>77.4593808588514</c:v>
                </c:pt>
                <c:pt idx="84">
                  <c:v>78.3926264113677</c:v>
                </c:pt>
                <c:pt idx="85">
                  <c:v>79.325871963884</c:v>
                </c:pt>
                <c:pt idx="86">
                  <c:v>80.2591175164003</c:v>
                </c:pt>
                <c:pt idx="87">
                  <c:v>81.1923630689166</c:v>
                </c:pt>
                <c:pt idx="88">
                  <c:v>82.1256086214328</c:v>
                </c:pt>
                <c:pt idx="89">
                  <c:v>83.0588541739491</c:v>
                </c:pt>
                <c:pt idx="90">
                  <c:v>83.9920997264654</c:v>
                </c:pt>
                <c:pt idx="91">
                  <c:v>84.9253452789817</c:v>
                </c:pt>
                <c:pt idx="92">
                  <c:v>85.858590831498</c:v>
                </c:pt>
                <c:pt idx="93">
                  <c:v>86.7918363840142</c:v>
                </c:pt>
                <c:pt idx="94">
                  <c:v>87.7250819365305</c:v>
                </c:pt>
                <c:pt idx="95">
                  <c:v>88.6583274890468</c:v>
                </c:pt>
                <c:pt idx="96">
                  <c:v>89.5915730415631</c:v>
                </c:pt>
                <c:pt idx="97">
                  <c:v>90.5248185940794</c:v>
                </c:pt>
                <c:pt idx="98">
                  <c:v>91.4580641465957</c:v>
                </c:pt>
                <c:pt idx="99">
                  <c:v>92.3913096991119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'Little finger results'!$C$2</c:f>
              <c:strCache>
                <c:ptCount val="1"/>
                <c:pt idx="0">
                  <c:v>Theta1</c:v>
                </c:pt>
              </c:strCache>
            </c:strRef>
          </c:tx>
          <c:spPr>
            <a:ln w="19080" cap="rnd" cmpd="sng" algn="ctr">
              <a:solidFill>
                <a:srgbClr val="ED7D31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xVal>
            <c:numRef>
              <c:f>'Little finger results'!$A$3:$A$102</c:f>
              <c:numCache>
                <c:formatCode>General</c:formatCode>
                <c:ptCount val="100"/>
                <c:pt idx="0">
                  <c:v>0</c:v>
                </c:pt>
                <c:pt idx="1">
                  <c:v>0.244323114315042</c:v>
                </c:pt>
                <c:pt idx="2">
                  <c:v>0.488646228630084</c:v>
                </c:pt>
                <c:pt idx="3">
                  <c:v>0.732969342945126</c:v>
                </c:pt>
                <c:pt idx="4">
                  <c:v>0.977292457260167</c:v>
                </c:pt>
                <c:pt idx="5">
                  <c:v>1.22161557157521</c:v>
                </c:pt>
                <c:pt idx="6">
                  <c:v>1.46593868589025</c:v>
                </c:pt>
                <c:pt idx="7">
                  <c:v>1.71026180020529</c:v>
                </c:pt>
                <c:pt idx="8">
                  <c:v>1.95458491452033</c:v>
                </c:pt>
                <c:pt idx="9">
                  <c:v>2.19890802883538</c:v>
                </c:pt>
                <c:pt idx="10">
                  <c:v>2.44323114315042</c:v>
                </c:pt>
                <c:pt idx="11">
                  <c:v>2.68755425746546</c:v>
                </c:pt>
                <c:pt idx="12">
                  <c:v>2.9318773717805</c:v>
                </c:pt>
                <c:pt idx="13">
                  <c:v>3.17620048609554</c:v>
                </c:pt>
                <c:pt idx="14">
                  <c:v>3.42052360041058</c:v>
                </c:pt>
                <c:pt idx="15">
                  <c:v>3.66484671472562</c:v>
                </c:pt>
                <c:pt idx="16">
                  <c:v>3.90916982904067</c:v>
                </c:pt>
                <c:pt idx="17">
                  <c:v>4.15349294335571</c:v>
                </c:pt>
                <c:pt idx="18">
                  <c:v>4.39781605767075</c:v>
                </c:pt>
                <c:pt idx="19">
                  <c:v>4.64213917198579</c:v>
                </c:pt>
                <c:pt idx="20">
                  <c:v>4.88646228630083</c:v>
                </c:pt>
                <c:pt idx="21">
                  <c:v>5.13078540061587</c:v>
                </c:pt>
                <c:pt idx="22">
                  <c:v>5.37510851493092</c:v>
                </c:pt>
                <c:pt idx="23">
                  <c:v>5.61943162924596</c:v>
                </c:pt>
                <c:pt idx="24">
                  <c:v>5.863754743561</c:v>
                </c:pt>
                <c:pt idx="25">
                  <c:v>6.10807785787604</c:v>
                </c:pt>
                <c:pt idx="26">
                  <c:v>6.35240097219108</c:v>
                </c:pt>
                <c:pt idx="27">
                  <c:v>6.59672408650613</c:v>
                </c:pt>
                <c:pt idx="28">
                  <c:v>6.84104720082116</c:v>
                </c:pt>
                <c:pt idx="29">
                  <c:v>7.08537031513621</c:v>
                </c:pt>
                <c:pt idx="30">
                  <c:v>7.32969342945125</c:v>
                </c:pt>
                <c:pt idx="31">
                  <c:v>7.57401654376629</c:v>
                </c:pt>
                <c:pt idx="32">
                  <c:v>7.81833965808133</c:v>
                </c:pt>
                <c:pt idx="33">
                  <c:v>8.06266277239637</c:v>
                </c:pt>
                <c:pt idx="34">
                  <c:v>8.30698588671141</c:v>
                </c:pt>
                <c:pt idx="35">
                  <c:v>8.55130900102646</c:v>
                </c:pt>
                <c:pt idx="36">
                  <c:v>8.7956321153415</c:v>
                </c:pt>
                <c:pt idx="37">
                  <c:v>9.03995522965654</c:v>
                </c:pt>
                <c:pt idx="38">
                  <c:v>9.28427834397158</c:v>
                </c:pt>
                <c:pt idx="39">
                  <c:v>9.52860145828662</c:v>
                </c:pt>
                <c:pt idx="40">
                  <c:v>9.77292457260167</c:v>
                </c:pt>
                <c:pt idx="41">
                  <c:v>10.0172476869167</c:v>
                </c:pt>
                <c:pt idx="42">
                  <c:v>10.2615708012317</c:v>
                </c:pt>
                <c:pt idx="43">
                  <c:v>10.5058939155468</c:v>
                </c:pt>
                <c:pt idx="44">
                  <c:v>10.7502170298618</c:v>
                </c:pt>
                <c:pt idx="45">
                  <c:v>10.9945401441769</c:v>
                </c:pt>
                <c:pt idx="46">
                  <c:v>11.2388632584919</c:v>
                </c:pt>
                <c:pt idx="47">
                  <c:v>11.483186372807</c:v>
                </c:pt>
                <c:pt idx="48">
                  <c:v>11.727509487122</c:v>
                </c:pt>
                <c:pt idx="49">
                  <c:v>11.971832601437</c:v>
                </c:pt>
                <c:pt idx="50">
                  <c:v>12.2161557157521</c:v>
                </c:pt>
                <c:pt idx="51">
                  <c:v>12.4604788300671</c:v>
                </c:pt>
                <c:pt idx="52">
                  <c:v>12.7048019443822</c:v>
                </c:pt>
                <c:pt idx="53">
                  <c:v>12.9491250586972</c:v>
                </c:pt>
                <c:pt idx="54">
                  <c:v>13.1934481730122</c:v>
                </c:pt>
                <c:pt idx="55">
                  <c:v>13.4377712873273</c:v>
                </c:pt>
                <c:pt idx="56">
                  <c:v>13.6820944016423</c:v>
                </c:pt>
                <c:pt idx="57">
                  <c:v>13.9264175159574</c:v>
                </c:pt>
                <c:pt idx="58">
                  <c:v>14.1707406302724</c:v>
                </c:pt>
                <c:pt idx="59">
                  <c:v>14.4150637445875</c:v>
                </c:pt>
                <c:pt idx="60">
                  <c:v>14.6593868589025</c:v>
                </c:pt>
                <c:pt idx="61">
                  <c:v>14.9037099732175</c:v>
                </c:pt>
                <c:pt idx="62">
                  <c:v>15.1480330875326</c:v>
                </c:pt>
                <c:pt idx="63">
                  <c:v>15.3923562018476</c:v>
                </c:pt>
                <c:pt idx="64">
                  <c:v>15.6366793161627</c:v>
                </c:pt>
                <c:pt idx="65">
                  <c:v>15.8810024304777</c:v>
                </c:pt>
                <c:pt idx="66">
                  <c:v>16.1253255447927</c:v>
                </c:pt>
                <c:pt idx="67">
                  <c:v>16.3696486591078</c:v>
                </c:pt>
                <c:pt idx="68">
                  <c:v>16.6139717734228</c:v>
                </c:pt>
                <c:pt idx="69">
                  <c:v>16.8582948877379</c:v>
                </c:pt>
                <c:pt idx="70">
                  <c:v>17.1026180020529</c:v>
                </c:pt>
                <c:pt idx="71">
                  <c:v>17.346941116368</c:v>
                </c:pt>
                <c:pt idx="72">
                  <c:v>17.591264230683</c:v>
                </c:pt>
                <c:pt idx="73">
                  <c:v>17.835587344998</c:v>
                </c:pt>
                <c:pt idx="74">
                  <c:v>18.0799104593131</c:v>
                </c:pt>
                <c:pt idx="75">
                  <c:v>18.3242335736281</c:v>
                </c:pt>
                <c:pt idx="76">
                  <c:v>18.5685566879432</c:v>
                </c:pt>
                <c:pt idx="77">
                  <c:v>18.8128798022582</c:v>
                </c:pt>
                <c:pt idx="78">
                  <c:v>19.0572029165732</c:v>
                </c:pt>
                <c:pt idx="79">
                  <c:v>19.3015260308883</c:v>
                </c:pt>
                <c:pt idx="80">
                  <c:v>19.5458491452033</c:v>
                </c:pt>
                <c:pt idx="81">
                  <c:v>19.7901722595184</c:v>
                </c:pt>
                <c:pt idx="82">
                  <c:v>20.0344953738334</c:v>
                </c:pt>
                <c:pt idx="83">
                  <c:v>20.2788184881485</c:v>
                </c:pt>
                <c:pt idx="84">
                  <c:v>20.5231416024635</c:v>
                </c:pt>
                <c:pt idx="85">
                  <c:v>20.7674647167785</c:v>
                </c:pt>
                <c:pt idx="86">
                  <c:v>21.0117878310936</c:v>
                </c:pt>
                <c:pt idx="87">
                  <c:v>21.2561109454086</c:v>
                </c:pt>
                <c:pt idx="88">
                  <c:v>21.5004340597237</c:v>
                </c:pt>
                <c:pt idx="89">
                  <c:v>21.7447571740387</c:v>
                </c:pt>
                <c:pt idx="90">
                  <c:v>21.9890802883537</c:v>
                </c:pt>
                <c:pt idx="91">
                  <c:v>22.2334034026688</c:v>
                </c:pt>
                <c:pt idx="92">
                  <c:v>22.4777265169838</c:v>
                </c:pt>
                <c:pt idx="93">
                  <c:v>22.7220496312989</c:v>
                </c:pt>
                <c:pt idx="94">
                  <c:v>22.9663727456139</c:v>
                </c:pt>
                <c:pt idx="95">
                  <c:v>23.210695859929</c:v>
                </c:pt>
                <c:pt idx="96">
                  <c:v>23.455018974244</c:v>
                </c:pt>
                <c:pt idx="97">
                  <c:v>23.699342088559</c:v>
                </c:pt>
                <c:pt idx="98">
                  <c:v>23.9436652028741</c:v>
                </c:pt>
                <c:pt idx="99">
                  <c:v>24.1879883171891</c:v>
                </c:pt>
              </c:numCache>
            </c:numRef>
          </c:xVal>
          <c:yVal>
            <c:numRef>
              <c:f>'Little finger results'!$C$3:$C$102</c:f>
              <c:numCache>
                <c:formatCode>General</c:formatCode>
                <c:ptCount val="100"/>
                <c:pt idx="0">
                  <c:v>0</c:v>
                </c:pt>
                <c:pt idx="1">
                  <c:v>0.809612811441168</c:v>
                </c:pt>
                <c:pt idx="2">
                  <c:v>1.4814547708606</c:v>
                </c:pt>
                <c:pt idx="3">
                  <c:v>2.07574817559117</c:v>
                </c:pt>
                <c:pt idx="4">
                  <c:v>2.60902802552887</c:v>
                </c:pt>
                <c:pt idx="5">
                  <c:v>3.10210340289363</c:v>
                </c:pt>
                <c:pt idx="6">
                  <c:v>3.5628688450988</c:v>
                </c:pt>
                <c:pt idx="7">
                  <c:v>3.99743359472708</c:v>
                </c:pt>
                <c:pt idx="8">
                  <c:v>4.41057965247801</c:v>
                </c:pt>
                <c:pt idx="9">
                  <c:v>4.80608715477123</c:v>
                </c:pt>
                <c:pt idx="10">
                  <c:v>5.18696995277832</c:v>
                </c:pt>
                <c:pt idx="11">
                  <c:v>5.55564917416499</c:v>
                </c:pt>
                <c:pt idx="12">
                  <c:v>5.91408316845891</c:v>
                </c:pt>
                <c:pt idx="13">
                  <c:v>6.26386626398103</c:v>
                </c:pt>
                <c:pt idx="14">
                  <c:v>6.60630487650984</c:v>
                </c:pt>
                <c:pt idx="15">
                  <c:v>6.9424769287614</c:v>
                </c:pt>
                <c:pt idx="16">
                  <c:v>7.27327879546198</c:v>
                </c:pt>
                <c:pt idx="17">
                  <c:v>7.59831523953943</c:v>
                </c:pt>
                <c:pt idx="18">
                  <c:v>7.91974481184771</c:v>
                </c:pt>
                <c:pt idx="19">
                  <c:v>8.23812627760526</c:v>
                </c:pt>
                <c:pt idx="20">
                  <c:v>8.55393070123041</c:v>
                </c:pt>
                <c:pt idx="21">
                  <c:v>8.86741966922545</c:v>
                </c:pt>
                <c:pt idx="22">
                  <c:v>9.17887294318193</c:v>
                </c:pt>
                <c:pt idx="23">
                  <c:v>9.48925048642137</c:v>
                </c:pt>
                <c:pt idx="24">
                  <c:v>9.79883151323011</c:v>
                </c:pt>
                <c:pt idx="25">
                  <c:v>10.1078778037443</c:v>
                </c:pt>
                <c:pt idx="26">
                  <c:v>10.4167568150394</c:v>
                </c:pt>
                <c:pt idx="27">
                  <c:v>10.7259255290047</c:v>
                </c:pt>
                <c:pt idx="28">
                  <c:v>11.0355943780726</c:v>
                </c:pt>
                <c:pt idx="29">
                  <c:v>11.3459730715656</c:v>
                </c:pt>
                <c:pt idx="30">
                  <c:v>11.6576413859624</c:v>
                </c:pt>
                <c:pt idx="31">
                  <c:v>11.9708520981432</c:v>
                </c:pt>
                <c:pt idx="32">
                  <c:v>12.2856446848294</c:v>
                </c:pt>
                <c:pt idx="33">
                  <c:v>12.6022214516197</c:v>
                </c:pt>
                <c:pt idx="34">
                  <c:v>12.9208781255322</c:v>
                </c:pt>
                <c:pt idx="35">
                  <c:v>13.242568965048</c:v>
                </c:pt>
                <c:pt idx="36">
                  <c:v>13.5668285532559</c:v>
                </c:pt>
                <c:pt idx="37">
                  <c:v>13.8938649419999</c:v>
                </c:pt>
                <c:pt idx="38">
                  <c:v>14.223895887473</c:v>
                </c:pt>
                <c:pt idx="39">
                  <c:v>14.5571471586779</c:v>
                </c:pt>
                <c:pt idx="40">
                  <c:v>14.8945986743255</c:v>
                </c:pt>
                <c:pt idx="41">
                  <c:v>15.2359005943259</c:v>
                </c:pt>
                <c:pt idx="42">
                  <c:v>15.5811147642995</c:v>
                </c:pt>
                <c:pt idx="43">
                  <c:v>15.9304559227854</c:v>
                </c:pt>
                <c:pt idx="44">
                  <c:v>16.2841384856056</c:v>
                </c:pt>
                <c:pt idx="45">
                  <c:v>16.6423740430476</c:v>
                </c:pt>
                <c:pt idx="46">
                  <c:v>17.0053688433064</c:v>
                </c:pt>
                <c:pt idx="47">
                  <c:v>17.3733275429416</c:v>
                </c:pt>
                <c:pt idx="48">
                  <c:v>17.7468911408706</c:v>
                </c:pt>
                <c:pt idx="49">
                  <c:v>18.1256937366742</c:v>
                </c:pt>
                <c:pt idx="50">
                  <c:v>18.5098898605093</c:v>
                </c:pt>
                <c:pt idx="51">
                  <c:v>18.8996192754269</c:v>
                </c:pt>
                <c:pt idx="52">
                  <c:v>19.2950047793272</c:v>
                </c:pt>
                <c:pt idx="53">
                  <c:v>19.6961501324713</c:v>
                </c:pt>
                <c:pt idx="54">
                  <c:v>20.1031381216409</c:v>
                </c:pt>
                <c:pt idx="55">
                  <c:v>20.516028769633</c:v>
                </c:pt>
                <c:pt idx="56">
                  <c:v>20.9348576965853</c:v>
                </c:pt>
                <c:pt idx="57">
                  <c:v>21.3596346376456</c:v>
                </c:pt>
                <c:pt idx="58">
                  <c:v>21.790342119704</c:v>
                </c:pt>
                <c:pt idx="59">
                  <c:v>22.2269924789055</c:v>
                </c:pt>
                <c:pt idx="60">
                  <c:v>22.669847263375</c:v>
                </c:pt>
                <c:pt idx="61">
                  <c:v>23.1184322664639</c:v>
                </c:pt>
                <c:pt idx="62">
                  <c:v>23.5725978316002</c:v>
                </c:pt>
                <c:pt idx="63">
                  <c:v>24.0321622174611</c:v>
                </c:pt>
                <c:pt idx="64">
                  <c:v>24.496911344918</c:v>
                </c:pt>
                <c:pt idx="65">
                  <c:v>24.9665986803919</c:v>
                </c:pt>
                <c:pt idx="66">
                  <c:v>25.4409452486952</c:v>
                </c:pt>
                <c:pt idx="67">
                  <c:v>25.9200805490743</c:v>
                </c:pt>
                <c:pt idx="68">
                  <c:v>26.4032532130221</c:v>
                </c:pt>
                <c:pt idx="69">
                  <c:v>26.8899660391102</c:v>
                </c:pt>
                <c:pt idx="70">
                  <c:v>27.3797979959668</c:v>
                </c:pt>
                <c:pt idx="71">
                  <c:v>27.8722977491152</c:v>
                </c:pt>
                <c:pt idx="72">
                  <c:v>28.3672247292231</c:v>
                </c:pt>
                <c:pt idx="73">
                  <c:v>28.8637099541179</c:v>
                </c:pt>
                <c:pt idx="74">
                  <c:v>29.3611801339009</c:v>
                </c:pt>
                <c:pt idx="75">
                  <c:v>29.8590591813402</c:v>
                </c:pt>
                <c:pt idx="76">
                  <c:v>30.356667752204</c:v>
                </c:pt>
                <c:pt idx="77">
                  <c:v>30.8532605578452</c:v>
                </c:pt>
                <c:pt idx="78">
                  <c:v>31.3482022453064</c:v>
                </c:pt>
                <c:pt idx="79">
                  <c:v>31.8408147818555</c:v>
                </c:pt>
                <c:pt idx="80">
                  <c:v>32.3303514561225</c:v>
                </c:pt>
                <c:pt idx="81">
                  <c:v>32.8155353165948</c:v>
                </c:pt>
                <c:pt idx="82">
                  <c:v>33.2960646656415</c:v>
                </c:pt>
                <c:pt idx="83">
                  <c:v>33.7711880034168</c:v>
                </c:pt>
                <c:pt idx="84">
                  <c:v>34.2401383155113</c:v>
                </c:pt>
                <c:pt idx="85">
                  <c:v>34.7021339418542</c:v>
                </c:pt>
                <c:pt idx="86">
                  <c:v>35.1562960827864</c:v>
                </c:pt>
                <c:pt idx="87">
                  <c:v>35.6011734333267</c:v>
                </c:pt>
                <c:pt idx="88">
                  <c:v>36.0366837720236</c:v>
                </c:pt>
                <c:pt idx="89">
                  <c:v>36.4620563096911</c:v>
                </c:pt>
                <c:pt idx="90">
                  <c:v>36.8765330995515</c:v>
                </c:pt>
                <c:pt idx="91">
                  <c:v>37.2793818122605</c:v>
                </c:pt>
                <c:pt idx="92">
                  <c:v>37.6699159011489</c:v>
                </c:pt>
                <c:pt idx="93">
                  <c:v>38.0475273096277</c:v>
                </c:pt>
                <c:pt idx="94">
                  <c:v>38.4117411867811</c:v>
                </c:pt>
                <c:pt idx="95">
                  <c:v>38.760912713256</c:v>
                </c:pt>
                <c:pt idx="96">
                  <c:v>39.0933776200283</c:v>
                </c:pt>
                <c:pt idx="97">
                  <c:v>39.4102540032124</c:v>
                </c:pt>
                <c:pt idx="98">
                  <c:v>39.7119371847584</c:v>
                </c:pt>
                <c:pt idx="99">
                  <c:v>40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'Little finger results'!$D$2</c:f>
              <c:strCache>
                <c:ptCount val="1"/>
                <c:pt idx="0">
                  <c:v>Theta2</c:v>
                </c:pt>
              </c:strCache>
            </c:strRef>
          </c:tx>
          <c:spPr>
            <a:ln w="19080" cap="rnd" cmpd="sng" algn="ctr">
              <a:solidFill>
                <a:srgbClr val="A5A5A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xVal>
            <c:numRef>
              <c:f>'Little finger results'!$A$3:$A$102</c:f>
              <c:numCache>
                <c:formatCode>General</c:formatCode>
                <c:ptCount val="100"/>
                <c:pt idx="0">
                  <c:v>0</c:v>
                </c:pt>
                <c:pt idx="1">
                  <c:v>0.244323114315042</c:v>
                </c:pt>
                <c:pt idx="2">
                  <c:v>0.488646228630084</c:v>
                </c:pt>
                <c:pt idx="3">
                  <c:v>0.732969342945126</c:v>
                </c:pt>
                <c:pt idx="4">
                  <c:v>0.977292457260167</c:v>
                </c:pt>
                <c:pt idx="5">
                  <c:v>1.22161557157521</c:v>
                </c:pt>
                <c:pt idx="6">
                  <c:v>1.46593868589025</c:v>
                </c:pt>
                <c:pt idx="7">
                  <c:v>1.71026180020529</c:v>
                </c:pt>
                <c:pt idx="8">
                  <c:v>1.95458491452033</c:v>
                </c:pt>
                <c:pt idx="9">
                  <c:v>2.19890802883538</c:v>
                </c:pt>
                <c:pt idx="10">
                  <c:v>2.44323114315042</c:v>
                </c:pt>
                <c:pt idx="11">
                  <c:v>2.68755425746546</c:v>
                </c:pt>
                <c:pt idx="12">
                  <c:v>2.9318773717805</c:v>
                </c:pt>
                <c:pt idx="13">
                  <c:v>3.17620048609554</c:v>
                </c:pt>
                <c:pt idx="14">
                  <c:v>3.42052360041058</c:v>
                </c:pt>
                <c:pt idx="15">
                  <c:v>3.66484671472562</c:v>
                </c:pt>
                <c:pt idx="16">
                  <c:v>3.90916982904067</c:v>
                </c:pt>
                <c:pt idx="17">
                  <c:v>4.15349294335571</c:v>
                </c:pt>
                <c:pt idx="18">
                  <c:v>4.39781605767075</c:v>
                </c:pt>
                <c:pt idx="19">
                  <c:v>4.64213917198579</c:v>
                </c:pt>
                <c:pt idx="20">
                  <c:v>4.88646228630083</c:v>
                </c:pt>
                <c:pt idx="21">
                  <c:v>5.13078540061587</c:v>
                </c:pt>
                <c:pt idx="22">
                  <c:v>5.37510851493092</c:v>
                </c:pt>
                <c:pt idx="23">
                  <c:v>5.61943162924596</c:v>
                </c:pt>
                <c:pt idx="24">
                  <c:v>5.863754743561</c:v>
                </c:pt>
                <c:pt idx="25">
                  <c:v>6.10807785787604</c:v>
                </c:pt>
                <c:pt idx="26">
                  <c:v>6.35240097219108</c:v>
                </c:pt>
                <c:pt idx="27">
                  <c:v>6.59672408650613</c:v>
                </c:pt>
                <c:pt idx="28">
                  <c:v>6.84104720082116</c:v>
                </c:pt>
                <c:pt idx="29">
                  <c:v>7.08537031513621</c:v>
                </c:pt>
                <c:pt idx="30">
                  <c:v>7.32969342945125</c:v>
                </c:pt>
                <c:pt idx="31">
                  <c:v>7.57401654376629</c:v>
                </c:pt>
                <c:pt idx="32">
                  <c:v>7.81833965808133</c:v>
                </c:pt>
                <c:pt idx="33">
                  <c:v>8.06266277239637</c:v>
                </c:pt>
                <c:pt idx="34">
                  <c:v>8.30698588671141</c:v>
                </c:pt>
                <c:pt idx="35">
                  <c:v>8.55130900102646</c:v>
                </c:pt>
                <c:pt idx="36">
                  <c:v>8.7956321153415</c:v>
                </c:pt>
                <c:pt idx="37">
                  <c:v>9.03995522965654</c:v>
                </c:pt>
                <c:pt idx="38">
                  <c:v>9.28427834397158</c:v>
                </c:pt>
                <c:pt idx="39">
                  <c:v>9.52860145828662</c:v>
                </c:pt>
                <c:pt idx="40">
                  <c:v>9.77292457260167</c:v>
                </c:pt>
                <c:pt idx="41">
                  <c:v>10.0172476869167</c:v>
                </c:pt>
                <c:pt idx="42">
                  <c:v>10.2615708012317</c:v>
                </c:pt>
                <c:pt idx="43">
                  <c:v>10.5058939155468</c:v>
                </c:pt>
                <c:pt idx="44">
                  <c:v>10.7502170298618</c:v>
                </c:pt>
                <c:pt idx="45">
                  <c:v>10.9945401441769</c:v>
                </c:pt>
                <c:pt idx="46">
                  <c:v>11.2388632584919</c:v>
                </c:pt>
                <c:pt idx="47">
                  <c:v>11.483186372807</c:v>
                </c:pt>
                <c:pt idx="48">
                  <c:v>11.727509487122</c:v>
                </c:pt>
                <c:pt idx="49">
                  <c:v>11.971832601437</c:v>
                </c:pt>
                <c:pt idx="50">
                  <c:v>12.2161557157521</c:v>
                </c:pt>
                <c:pt idx="51">
                  <c:v>12.4604788300671</c:v>
                </c:pt>
                <c:pt idx="52">
                  <c:v>12.7048019443822</c:v>
                </c:pt>
                <c:pt idx="53">
                  <c:v>12.9491250586972</c:v>
                </c:pt>
                <c:pt idx="54">
                  <c:v>13.1934481730122</c:v>
                </c:pt>
                <c:pt idx="55">
                  <c:v>13.4377712873273</c:v>
                </c:pt>
                <c:pt idx="56">
                  <c:v>13.6820944016423</c:v>
                </c:pt>
                <c:pt idx="57">
                  <c:v>13.9264175159574</c:v>
                </c:pt>
                <c:pt idx="58">
                  <c:v>14.1707406302724</c:v>
                </c:pt>
                <c:pt idx="59">
                  <c:v>14.4150637445875</c:v>
                </c:pt>
                <c:pt idx="60">
                  <c:v>14.6593868589025</c:v>
                </c:pt>
                <c:pt idx="61">
                  <c:v>14.9037099732175</c:v>
                </c:pt>
                <c:pt idx="62">
                  <c:v>15.1480330875326</c:v>
                </c:pt>
                <c:pt idx="63">
                  <c:v>15.3923562018476</c:v>
                </c:pt>
                <c:pt idx="64">
                  <c:v>15.6366793161627</c:v>
                </c:pt>
                <c:pt idx="65">
                  <c:v>15.8810024304777</c:v>
                </c:pt>
                <c:pt idx="66">
                  <c:v>16.1253255447927</c:v>
                </c:pt>
                <c:pt idx="67">
                  <c:v>16.3696486591078</c:v>
                </c:pt>
                <c:pt idx="68">
                  <c:v>16.6139717734228</c:v>
                </c:pt>
                <c:pt idx="69">
                  <c:v>16.8582948877379</c:v>
                </c:pt>
                <c:pt idx="70">
                  <c:v>17.1026180020529</c:v>
                </c:pt>
                <c:pt idx="71">
                  <c:v>17.346941116368</c:v>
                </c:pt>
                <c:pt idx="72">
                  <c:v>17.591264230683</c:v>
                </c:pt>
                <c:pt idx="73">
                  <c:v>17.835587344998</c:v>
                </c:pt>
                <c:pt idx="74">
                  <c:v>18.0799104593131</c:v>
                </c:pt>
                <c:pt idx="75">
                  <c:v>18.3242335736281</c:v>
                </c:pt>
                <c:pt idx="76">
                  <c:v>18.5685566879432</c:v>
                </c:pt>
                <c:pt idx="77">
                  <c:v>18.8128798022582</c:v>
                </c:pt>
                <c:pt idx="78">
                  <c:v>19.0572029165732</c:v>
                </c:pt>
                <c:pt idx="79">
                  <c:v>19.3015260308883</c:v>
                </c:pt>
                <c:pt idx="80">
                  <c:v>19.5458491452033</c:v>
                </c:pt>
                <c:pt idx="81">
                  <c:v>19.7901722595184</c:v>
                </c:pt>
                <c:pt idx="82">
                  <c:v>20.0344953738334</c:v>
                </c:pt>
                <c:pt idx="83">
                  <c:v>20.2788184881485</c:v>
                </c:pt>
                <c:pt idx="84">
                  <c:v>20.5231416024635</c:v>
                </c:pt>
                <c:pt idx="85">
                  <c:v>20.7674647167785</c:v>
                </c:pt>
                <c:pt idx="86">
                  <c:v>21.0117878310936</c:v>
                </c:pt>
                <c:pt idx="87">
                  <c:v>21.2561109454086</c:v>
                </c:pt>
                <c:pt idx="88">
                  <c:v>21.5004340597237</c:v>
                </c:pt>
                <c:pt idx="89">
                  <c:v>21.7447571740387</c:v>
                </c:pt>
                <c:pt idx="90">
                  <c:v>21.9890802883537</c:v>
                </c:pt>
                <c:pt idx="91">
                  <c:v>22.2334034026688</c:v>
                </c:pt>
                <c:pt idx="92">
                  <c:v>22.4777265169838</c:v>
                </c:pt>
                <c:pt idx="93">
                  <c:v>22.7220496312989</c:v>
                </c:pt>
                <c:pt idx="94">
                  <c:v>22.9663727456139</c:v>
                </c:pt>
                <c:pt idx="95">
                  <c:v>23.210695859929</c:v>
                </c:pt>
                <c:pt idx="96">
                  <c:v>23.455018974244</c:v>
                </c:pt>
                <c:pt idx="97">
                  <c:v>23.699342088559</c:v>
                </c:pt>
                <c:pt idx="98">
                  <c:v>23.9436652028741</c:v>
                </c:pt>
                <c:pt idx="99">
                  <c:v>24.1879883171891</c:v>
                </c:pt>
              </c:numCache>
            </c:numRef>
          </c:xVal>
          <c:yVal>
            <c:numRef>
              <c:f>'Little finger results'!$D$3:$D$102</c:f>
              <c:numCache>
                <c:formatCode>General</c:formatCode>
                <c:ptCount val="100"/>
                <c:pt idx="0">
                  <c:v>0</c:v>
                </c:pt>
                <c:pt idx="1">
                  <c:v>0.607209608580876</c:v>
                </c:pt>
                <c:pt idx="2">
                  <c:v>1.11109107814545</c:v>
                </c:pt>
                <c:pt idx="3">
                  <c:v>1.55681113169338</c:v>
                </c:pt>
                <c:pt idx="4">
                  <c:v>1.95677101914665</c:v>
                </c:pt>
                <c:pt idx="5">
                  <c:v>2.32657755217022</c:v>
                </c:pt>
                <c:pt idx="6">
                  <c:v>2.6721516338241</c:v>
                </c:pt>
                <c:pt idx="7">
                  <c:v>2.99807519604531</c:v>
                </c:pt>
                <c:pt idx="8">
                  <c:v>3.3079347393585</c:v>
                </c:pt>
                <c:pt idx="9">
                  <c:v>3.60456536607843</c:v>
                </c:pt>
                <c:pt idx="10">
                  <c:v>3.89022746458374</c:v>
                </c:pt>
                <c:pt idx="11">
                  <c:v>4.16673688062374</c:v>
                </c:pt>
                <c:pt idx="12">
                  <c:v>4.43556237634418</c:v>
                </c:pt>
                <c:pt idx="13">
                  <c:v>4.69789969798577</c:v>
                </c:pt>
                <c:pt idx="14">
                  <c:v>4.95472865738238</c:v>
                </c:pt>
                <c:pt idx="15">
                  <c:v>5.20685769657105</c:v>
                </c:pt>
                <c:pt idx="16">
                  <c:v>5.45495909659649</c:v>
                </c:pt>
                <c:pt idx="17">
                  <c:v>5.69873642965457</c:v>
                </c:pt>
                <c:pt idx="18">
                  <c:v>5.93980860888579</c:v>
                </c:pt>
                <c:pt idx="19">
                  <c:v>6.17859470820394</c:v>
                </c:pt>
                <c:pt idx="20">
                  <c:v>6.4154480259228</c:v>
                </c:pt>
                <c:pt idx="21">
                  <c:v>6.65056475191909</c:v>
                </c:pt>
                <c:pt idx="22">
                  <c:v>6.88415470738645</c:v>
                </c:pt>
                <c:pt idx="23">
                  <c:v>7.11693786481603</c:v>
                </c:pt>
                <c:pt idx="24">
                  <c:v>7.34912363492258</c:v>
                </c:pt>
                <c:pt idx="25">
                  <c:v>7.58090835280824</c:v>
                </c:pt>
                <c:pt idx="26">
                  <c:v>7.81256761127954</c:v>
                </c:pt>
                <c:pt idx="27">
                  <c:v>8.0444441467535</c:v>
                </c:pt>
                <c:pt idx="28">
                  <c:v>8.27669578355449</c:v>
                </c:pt>
                <c:pt idx="29">
                  <c:v>8.50947980367419</c:v>
                </c:pt>
                <c:pt idx="30">
                  <c:v>8.74323103947181</c:v>
                </c:pt>
                <c:pt idx="31">
                  <c:v>8.97813907360736</c:v>
                </c:pt>
                <c:pt idx="32">
                  <c:v>9.21423351362203</c:v>
                </c:pt>
                <c:pt idx="33">
                  <c:v>9.45166608871475</c:v>
                </c:pt>
                <c:pt idx="34">
                  <c:v>9.69065859414918</c:v>
                </c:pt>
                <c:pt idx="35">
                  <c:v>9.93192672378602</c:v>
                </c:pt>
                <c:pt idx="36">
                  <c:v>10.1751214149419</c:v>
                </c:pt>
                <c:pt idx="37">
                  <c:v>10.4203987064999</c:v>
                </c:pt>
                <c:pt idx="38">
                  <c:v>10.6679219156048</c:v>
                </c:pt>
                <c:pt idx="39">
                  <c:v>10.9178603690084</c:v>
                </c:pt>
                <c:pt idx="40">
                  <c:v>11.1709490057441</c:v>
                </c:pt>
                <c:pt idx="41">
                  <c:v>11.4269254457444</c:v>
                </c:pt>
                <c:pt idx="42">
                  <c:v>11.6858360732246</c:v>
                </c:pt>
                <c:pt idx="43">
                  <c:v>11.9478419420891</c:v>
                </c:pt>
                <c:pt idx="44">
                  <c:v>12.2131038642042</c:v>
                </c:pt>
                <c:pt idx="45">
                  <c:v>12.4817805322857</c:v>
                </c:pt>
                <c:pt idx="46">
                  <c:v>12.7540266324798</c:v>
                </c:pt>
                <c:pt idx="47">
                  <c:v>13.0299956572062</c:v>
                </c:pt>
                <c:pt idx="48">
                  <c:v>13.3101683556529</c:v>
                </c:pt>
                <c:pt idx="49">
                  <c:v>13.5942703025057</c:v>
                </c:pt>
                <c:pt idx="50">
                  <c:v>13.882417395382</c:v>
                </c:pt>
                <c:pt idx="51">
                  <c:v>14.1747144565702</c:v>
                </c:pt>
                <c:pt idx="52">
                  <c:v>14.4712535844954</c:v>
                </c:pt>
                <c:pt idx="53">
                  <c:v>14.7721125993534</c:v>
                </c:pt>
                <c:pt idx="54">
                  <c:v>15.0773535912307</c:v>
                </c:pt>
                <c:pt idx="55">
                  <c:v>15.3870215772247</c:v>
                </c:pt>
                <c:pt idx="56">
                  <c:v>15.701143272439</c:v>
                </c:pt>
                <c:pt idx="57">
                  <c:v>16.0197259782342</c:v>
                </c:pt>
                <c:pt idx="58">
                  <c:v>16.342756589778</c:v>
                </c:pt>
                <c:pt idx="59">
                  <c:v>16.6702443591791</c:v>
                </c:pt>
                <c:pt idx="60">
                  <c:v>17.0023854475313</c:v>
                </c:pt>
                <c:pt idx="61">
                  <c:v>17.3388241998479</c:v>
                </c:pt>
                <c:pt idx="62">
                  <c:v>17.6794483737001</c:v>
                </c:pt>
                <c:pt idx="63">
                  <c:v>18.0241216630958</c:v>
                </c:pt>
                <c:pt idx="64">
                  <c:v>18.3726835086885</c:v>
                </c:pt>
                <c:pt idx="65">
                  <c:v>18.7249490102939</c:v>
                </c:pt>
                <c:pt idx="66">
                  <c:v>19.0807089365214</c:v>
                </c:pt>
                <c:pt idx="67">
                  <c:v>19.4400604118058</c:v>
                </c:pt>
                <c:pt idx="68">
                  <c:v>19.8024399097665</c:v>
                </c:pt>
                <c:pt idx="69">
                  <c:v>20.1674745293327</c:v>
                </c:pt>
                <c:pt idx="70">
                  <c:v>20.5348484969751</c:v>
                </c:pt>
                <c:pt idx="71">
                  <c:v>20.9042233118364</c:v>
                </c:pt>
                <c:pt idx="72">
                  <c:v>21.2754185469173</c:v>
                </c:pt>
                <c:pt idx="73">
                  <c:v>21.6477824655885</c:v>
                </c:pt>
                <c:pt idx="74">
                  <c:v>22.0208851004256</c:v>
                </c:pt>
                <c:pt idx="75">
                  <c:v>22.3942943860052</c:v>
                </c:pt>
                <c:pt idx="76">
                  <c:v>22.767500814153</c:v>
                </c:pt>
                <c:pt idx="77">
                  <c:v>23.1399454183839</c:v>
                </c:pt>
                <c:pt idx="78">
                  <c:v>23.5111516839798</c:v>
                </c:pt>
                <c:pt idx="79">
                  <c:v>23.8806110863916</c:v>
                </c:pt>
                <c:pt idx="80">
                  <c:v>24.2477635920919</c:v>
                </c:pt>
                <c:pt idx="81">
                  <c:v>24.6116514874461</c:v>
                </c:pt>
                <c:pt idx="82">
                  <c:v>24.9720484992311</c:v>
                </c:pt>
                <c:pt idx="83">
                  <c:v>25.3283910025626</c:v>
                </c:pt>
                <c:pt idx="84">
                  <c:v>25.6801037366335</c:v>
                </c:pt>
                <c:pt idx="85">
                  <c:v>26.0266004563906</c:v>
                </c:pt>
                <c:pt idx="86">
                  <c:v>26.3672220620898</c:v>
                </c:pt>
                <c:pt idx="87">
                  <c:v>26.7008800749951</c:v>
                </c:pt>
                <c:pt idx="88">
                  <c:v>27.0275128290177</c:v>
                </c:pt>
                <c:pt idx="89">
                  <c:v>27.3465422322683</c:v>
                </c:pt>
                <c:pt idx="90">
                  <c:v>27.6573998246636</c:v>
                </c:pt>
                <c:pt idx="91">
                  <c:v>27.9595363591954</c:v>
                </c:pt>
                <c:pt idx="92">
                  <c:v>28.2524369258617</c:v>
                </c:pt>
                <c:pt idx="93">
                  <c:v>28.5356454822207</c:v>
                </c:pt>
                <c:pt idx="94">
                  <c:v>28.8088058900858</c:v>
                </c:pt>
                <c:pt idx="95">
                  <c:v>29.070684534942</c:v>
                </c:pt>
                <c:pt idx="96">
                  <c:v>29.3200332150212</c:v>
                </c:pt>
                <c:pt idx="97">
                  <c:v>29.5576905024093</c:v>
                </c:pt>
                <c:pt idx="98">
                  <c:v>29.7839528885688</c:v>
                </c:pt>
                <c:pt idx="99">
                  <c:v>30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'Little finger results'!$E$2</c:f>
              <c:strCache>
                <c:ptCount val="1"/>
                <c:pt idx="0">
                  <c:v>Theta3</c:v>
                </c:pt>
              </c:strCache>
            </c:strRef>
          </c:tx>
          <c:spPr>
            <a:ln w="19080" cap="rnd" cmpd="sng" algn="ctr">
              <a:solidFill>
                <a:srgbClr val="FFC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xVal>
            <c:numRef>
              <c:f>'Little finger results'!$A$3:$A$102</c:f>
              <c:numCache>
                <c:formatCode>General</c:formatCode>
                <c:ptCount val="100"/>
                <c:pt idx="0">
                  <c:v>0</c:v>
                </c:pt>
                <c:pt idx="1">
                  <c:v>0.244323114315042</c:v>
                </c:pt>
                <c:pt idx="2">
                  <c:v>0.488646228630084</c:v>
                </c:pt>
                <c:pt idx="3">
                  <c:v>0.732969342945126</c:v>
                </c:pt>
                <c:pt idx="4">
                  <c:v>0.977292457260167</c:v>
                </c:pt>
                <c:pt idx="5">
                  <c:v>1.22161557157521</c:v>
                </c:pt>
                <c:pt idx="6">
                  <c:v>1.46593868589025</c:v>
                </c:pt>
                <c:pt idx="7">
                  <c:v>1.71026180020529</c:v>
                </c:pt>
                <c:pt idx="8">
                  <c:v>1.95458491452033</c:v>
                </c:pt>
                <c:pt idx="9">
                  <c:v>2.19890802883538</c:v>
                </c:pt>
                <c:pt idx="10">
                  <c:v>2.44323114315042</c:v>
                </c:pt>
                <c:pt idx="11">
                  <c:v>2.68755425746546</c:v>
                </c:pt>
                <c:pt idx="12">
                  <c:v>2.9318773717805</c:v>
                </c:pt>
                <c:pt idx="13">
                  <c:v>3.17620048609554</c:v>
                </c:pt>
                <c:pt idx="14">
                  <c:v>3.42052360041058</c:v>
                </c:pt>
                <c:pt idx="15">
                  <c:v>3.66484671472562</c:v>
                </c:pt>
                <c:pt idx="16">
                  <c:v>3.90916982904067</c:v>
                </c:pt>
                <c:pt idx="17">
                  <c:v>4.15349294335571</c:v>
                </c:pt>
                <c:pt idx="18">
                  <c:v>4.39781605767075</c:v>
                </c:pt>
                <c:pt idx="19">
                  <c:v>4.64213917198579</c:v>
                </c:pt>
                <c:pt idx="20">
                  <c:v>4.88646228630083</c:v>
                </c:pt>
                <c:pt idx="21">
                  <c:v>5.13078540061587</c:v>
                </c:pt>
                <c:pt idx="22">
                  <c:v>5.37510851493092</c:v>
                </c:pt>
                <c:pt idx="23">
                  <c:v>5.61943162924596</c:v>
                </c:pt>
                <c:pt idx="24">
                  <c:v>5.863754743561</c:v>
                </c:pt>
                <c:pt idx="25">
                  <c:v>6.10807785787604</c:v>
                </c:pt>
                <c:pt idx="26">
                  <c:v>6.35240097219108</c:v>
                </c:pt>
                <c:pt idx="27">
                  <c:v>6.59672408650613</c:v>
                </c:pt>
                <c:pt idx="28">
                  <c:v>6.84104720082116</c:v>
                </c:pt>
                <c:pt idx="29">
                  <c:v>7.08537031513621</c:v>
                </c:pt>
                <c:pt idx="30">
                  <c:v>7.32969342945125</c:v>
                </c:pt>
                <c:pt idx="31">
                  <c:v>7.57401654376629</c:v>
                </c:pt>
                <c:pt idx="32">
                  <c:v>7.81833965808133</c:v>
                </c:pt>
                <c:pt idx="33">
                  <c:v>8.06266277239637</c:v>
                </c:pt>
                <c:pt idx="34">
                  <c:v>8.30698588671141</c:v>
                </c:pt>
                <c:pt idx="35">
                  <c:v>8.55130900102646</c:v>
                </c:pt>
                <c:pt idx="36">
                  <c:v>8.7956321153415</c:v>
                </c:pt>
                <c:pt idx="37">
                  <c:v>9.03995522965654</c:v>
                </c:pt>
                <c:pt idx="38">
                  <c:v>9.28427834397158</c:v>
                </c:pt>
                <c:pt idx="39">
                  <c:v>9.52860145828662</c:v>
                </c:pt>
                <c:pt idx="40">
                  <c:v>9.77292457260167</c:v>
                </c:pt>
                <c:pt idx="41">
                  <c:v>10.0172476869167</c:v>
                </c:pt>
                <c:pt idx="42">
                  <c:v>10.2615708012317</c:v>
                </c:pt>
                <c:pt idx="43">
                  <c:v>10.5058939155468</c:v>
                </c:pt>
                <c:pt idx="44">
                  <c:v>10.7502170298618</c:v>
                </c:pt>
                <c:pt idx="45">
                  <c:v>10.9945401441769</c:v>
                </c:pt>
                <c:pt idx="46">
                  <c:v>11.2388632584919</c:v>
                </c:pt>
                <c:pt idx="47">
                  <c:v>11.483186372807</c:v>
                </c:pt>
                <c:pt idx="48">
                  <c:v>11.727509487122</c:v>
                </c:pt>
                <c:pt idx="49">
                  <c:v>11.971832601437</c:v>
                </c:pt>
                <c:pt idx="50">
                  <c:v>12.2161557157521</c:v>
                </c:pt>
                <c:pt idx="51">
                  <c:v>12.4604788300671</c:v>
                </c:pt>
                <c:pt idx="52">
                  <c:v>12.7048019443822</c:v>
                </c:pt>
                <c:pt idx="53">
                  <c:v>12.9491250586972</c:v>
                </c:pt>
                <c:pt idx="54">
                  <c:v>13.1934481730122</c:v>
                </c:pt>
                <c:pt idx="55">
                  <c:v>13.4377712873273</c:v>
                </c:pt>
                <c:pt idx="56">
                  <c:v>13.6820944016423</c:v>
                </c:pt>
                <c:pt idx="57">
                  <c:v>13.9264175159574</c:v>
                </c:pt>
                <c:pt idx="58">
                  <c:v>14.1707406302724</c:v>
                </c:pt>
                <c:pt idx="59">
                  <c:v>14.4150637445875</c:v>
                </c:pt>
                <c:pt idx="60">
                  <c:v>14.6593868589025</c:v>
                </c:pt>
                <c:pt idx="61">
                  <c:v>14.9037099732175</c:v>
                </c:pt>
                <c:pt idx="62">
                  <c:v>15.1480330875326</c:v>
                </c:pt>
                <c:pt idx="63">
                  <c:v>15.3923562018476</c:v>
                </c:pt>
                <c:pt idx="64">
                  <c:v>15.6366793161627</c:v>
                </c:pt>
                <c:pt idx="65">
                  <c:v>15.8810024304777</c:v>
                </c:pt>
                <c:pt idx="66">
                  <c:v>16.1253255447927</c:v>
                </c:pt>
                <c:pt idx="67">
                  <c:v>16.3696486591078</c:v>
                </c:pt>
                <c:pt idx="68">
                  <c:v>16.6139717734228</c:v>
                </c:pt>
                <c:pt idx="69">
                  <c:v>16.8582948877379</c:v>
                </c:pt>
                <c:pt idx="70">
                  <c:v>17.1026180020529</c:v>
                </c:pt>
                <c:pt idx="71">
                  <c:v>17.346941116368</c:v>
                </c:pt>
                <c:pt idx="72">
                  <c:v>17.591264230683</c:v>
                </c:pt>
                <c:pt idx="73">
                  <c:v>17.835587344998</c:v>
                </c:pt>
                <c:pt idx="74">
                  <c:v>18.0799104593131</c:v>
                </c:pt>
                <c:pt idx="75">
                  <c:v>18.3242335736281</c:v>
                </c:pt>
                <c:pt idx="76">
                  <c:v>18.5685566879432</c:v>
                </c:pt>
                <c:pt idx="77">
                  <c:v>18.8128798022582</c:v>
                </c:pt>
                <c:pt idx="78">
                  <c:v>19.0572029165732</c:v>
                </c:pt>
                <c:pt idx="79">
                  <c:v>19.3015260308883</c:v>
                </c:pt>
                <c:pt idx="80">
                  <c:v>19.5458491452033</c:v>
                </c:pt>
                <c:pt idx="81">
                  <c:v>19.7901722595184</c:v>
                </c:pt>
                <c:pt idx="82">
                  <c:v>20.0344953738334</c:v>
                </c:pt>
                <c:pt idx="83">
                  <c:v>20.2788184881485</c:v>
                </c:pt>
                <c:pt idx="84">
                  <c:v>20.5231416024635</c:v>
                </c:pt>
                <c:pt idx="85">
                  <c:v>20.7674647167785</c:v>
                </c:pt>
                <c:pt idx="86">
                  <c:v>21.0117878310936</c:v>
                </c:pt>
                <c:pt idx="87">
                  <c:v>21.2561109454086</c:v>
                </c:pt>
                <c:pt idx="88">
                  <c:v>21.5004340597237</c:v>
                </c:pt>
                <c:pt idx="89">
                  <c:v>21.7447571740387</c:v>
                </c:pt>
                <c:pt idx="90">
                  <c:v>21.9890802883537</c:v>
                </c:pt>
                <c:pt idx="91">
                  <c:v>22.2334034026688</c:v>
                </c:pt>
                <c:pt idx="92">
                  <c:v>22.4777265169838</c:v>
                </c:pt>
                <c:pt idx="93">
                  <c:v>22.7220496312989</c:v>
                </c:pt>
                <c:pt idx="94">
                  <c:v>22.9663727456139</c:v>
                </c:pt>
                <c:pt idx="95">
                  <c:v>23.210695859929</c:v>
                </c:pt>
                <c:pt idx="96">
                  <c:v>23.455018974244</c:v>
                </c:pt>
                <c:pt idx="97">
                  <c:v>23.699342088559</c:v>
                </c:pt>
                <c:pt idx="98">
                  <c:v>23.9436652028741</c:v>
                </c:pt>
                <c:pt idx="99">
                  <c:v>24.1879883171891</c:v>
                </c:pt>
              </c:numCache>
            </c:numRef>
          </c:xVal>
          <c:yVal>
            <c:numRef>
              <c:f>'Little finger results'!$E$3:$E$102</c:f>
              <c:numCache>
                <c:formatCode>General</c:formatCode>
                <c:ptCount val="100"/>
                <c:pt idx="0">
                  <c:v>0</c:v>
                </c:pt>
                <c:pt idx="1">
                  <c:v>0.404806405720584</c:v>
                </c:pt>
                <c:pt idx="2">
                  <c:v>0.7407273854303</c:v>
                </c:pt>
                <c:pt idx="3">
                  <c:v>1.03787408779558</c:v>
                </c:pt>
                <c:pt idx="4">
                  <c:v>1.30451401276444</c:v>
                </c:pt>
                <c:pt idx="5">
                  <c:v>1.55105170144682</c:v>
                </c:pt>
                <c:pt idx="6">
                  <c:v>1.7814344225494</c:v>
                </c:pt>
                <c:pt idx="7">
                  <c:v>1.99871679736354</c:v>
                </c:pt>
                <c:pt idx="8">
                  <c:v>2.205289826239</c:v>
                </c:pt>
                <c:pt idx="9">
                  <c:v>2.40304357738562</c:v>
                </c:pt>
                <c:pt idx="10">
                  <c:v>2.59348497638916</c:v>
                </c:pt>
                <c:pt idx="11">
                  <c:v>2.77782458708249</c:v>
                </c:pt>
                <c:pt idx="12">
                  <c:v>2.95704158422945</c:v>
                </c:pt>
                <c:pt idx="13">
                  <c:v>3.13193313199051</c:v>
                </c:pt>
                <c:pt idx="14">
                  <c:v>3.30315243825492</c:v>
                </c:pt>
                <c:pt idx="15">
                  <c:v>3.4712384643807</c:v>
                </c:pt>
                <c:pt idx="16">
                  <c:v>3.63663939773099</c:v>
                </c:pt>
                <c:pt idx="17">
                  <c:v>3.79915761976972</c:v>
                </c:pt>
                <c:pt idx="18">
                  <c:v>3.95987240592386</c:v>
                </c:pt>
                <c:pt idx="19">
                  <c:v>4.11906313880263</c:v>
                </c:pt>
                <c:pt idx="20">
                  <c:v>4.2769653506152</c:v>
                </c:pt>
                <c:pt idx="21">
                  <c:v>4.43370983461272</c:v>
                </c:pt>
                <c:pt idx="22">
                  <c:v>4.58943647159097</c:v>
                </c:pt>
                <c:pt idx="23">
                  <c:v>4.74462524321069</c:v>
                </c:pt>
                <c:pt idx="24">
                  <c:v>4.89941575661505</c:v>
                </c:pt>
                <c:pt idx="25">
                  <c:v>5.05393890187216</c:v>
                </c:pt>
                <c:pt idx="26">
                  <c:v>5.20837840751969</c:v>
                </c:pt>
                <c:pt idx="27">
                  <c:v>5.36296276450233</c:v>
                </c:pt>
                <c:pt idx="28">
                  <c:v>5.51779718903632</c:v>
                </c:pt>
                <c:pt idx="29">
                  <c:v>5.67298653578279</c:v>
                </c:pt>
                <c:pt idx="30">
                  <c:v>5.82882069298121</c:v>
                </c:pt>
                <c:pt idx="31">
                  <c:v>5.98542604907158</c:v>
                </c:pt>
                <c:pt idx="32">
                  <c:v>6.14282234241468</c:v>
                </c:pt>
                <c:pt idx="33">
                  <c:v>6.30111072580983</c:v>
                </c:pt>
                <c:pt idx="34">
                  <c:v>6.46043906276612</c:v>
                </c:pt>
                <c:pt idx="35">
                  <c:v>6.62128448252402</c:v>
                </c:pt>
                <c:pt idx="36">
                  <c:v>6.78341427662796</c:v>
                </c:pt>
                <c:pt idx="37">
                  <c:v>6.94693247099996</c:v>
                </c:pt>
                <c:pt idx="38">
                  <c:v>7.11194794373652</c:v>
                </c:pt>
                <c:pt idx="39">
                  <c:v>7.27857357933893</c:v>
                </c:pt>
                <c:pt idx="40">
                  <c:v>7.44729933716273</c:v>
                </c:pt>
                <c:pt idx="41">
                  <c:v>7.61795029716295</c:v>
                </c:pt>
                <c:pt idx="42">
                  <c:v>7.79055738214973</c:v>
                </c:pt>
                <c:pt idx="43">
                  <c:v>7.96522796139271</c:v>
                </c:pt>
                <c:pt idx="44">
                  <c:v>8.14206924280282</c:v>
                </c:pt>
                <c:pt idx="45">
                  <c:v>8.32118702152381</c:v>
                </c:pt>
                <c:pt idx="46">
                  <c:v>8.50268442165321</c:v>
                </c:pt>
                <c:pt idx="47">
                  <c:v>8.68666377147079</c:v>
                </c:pt>
                <c:pt idx="48">
                  <c:v>8.87344557043528</c:v>
                </c:pt>
                <c:pt idx="49">
                  <c:v>9.06284686833711</c:v>
                </c:pt>
                <c:pt idx="50">
                  <c:v>9.25494493025467</c:v>
                </c:pt>
                <c:pt idx="51">
                  <c:v>9.44980963771346</c:v>
                </c:pt>
                <c:pt idx="52">
                  <c:v>9.64750238966358</c:v>
                </c:pt>
                <c:pt idx="53">
                  <c:v>9.84807506623563</c:v>
                </c:pt>
                <c:pt idx="54">
                  <c:v>10.0515690608205</c:v>
                </c:pt>
                <c:pt idx="55">
                  <c:v>10.2580143848165</c:v>
                </c:pt>
                <c:pt idx="56">
                  <c:v>10.4674288482926</c:v>
                </c:pt>
                <c:pt idx="57">
                  <c:v>10.6798173188228</c:v>
                </c:pt>
                <c:pt idx="58">
                  <c:v>10.895171059852</c:v>
                </c:pt>
                <c:pt idx="59">
                  <c:v>11.1134962394527</c:v>
                </c:pt>
                <c:pt idx="60">
                  <c:v>11.3349236316875</c:v>
                </c:pt>
                <c:pt idx="61">
                  <c:v>11.5592161332319</c:v>
                </c:pt>
                <c:pt idx="62">
                  <c:v>11.7862989158001</c:v>
                </c:pt>
                <c:pt idx="63">
                  <c:v>12.0160811087306</c:v>
                </c:pt>
                <c:pt idx="64">
                  <c:v>12.248455672459</c:v>
                </c:pt>
                <c:pt idx="65">
                  <c:v>12.483299340196</c:v>
                </c:pt>
                <c:pt idx="66">
                  <c:v>12.7204726243476</c:v>
                </c:pt>
                <c:pt idx="67">
                  <c:v>12.9600402745372</c:v>
                </c:pt>
                <c:pt idx="68">
                  <c:v>13.201626606511</c:v>
                </c:pt>
                <c:pt idx="69">
                  <c:v>13.4449830195551</c:v>
                </c:pt>
                <c:pt idx="70">
                  <c:v>13.6898989979834</c:v>
                </c:pt>
                <c:pt idx="71">
                  <c:v>13.9361488745576</c:v>
                </c:pt>
                <c:pt idx="72">
                  <c:v>14.1836123646115</c:v>
                </c:pt>
                <c:pt idx="73">
                  <c:v>14.431854977059</c:v>
                </c:pt>
                <c:pt idx="74">
                  <c:v>14.6805900669504</c:v>
                </c:pt>
                <c:pt idx="75">
                  <c:v>14.9295295906701</c:v>
                </c:pt>
                <c:pt idx="76">
                  <c:v>15.178333876102</c:v>
                </c:pt>
                <c:pt idx="77">
                  <c:v>15.4266302789226</c:v>
                </c:pt>
                <c:pt idx="78">
                  <c:v>15.6741011226532</c:v>
                </c:pt>
                <c:pt idx="79">
                  <c:v>15.9204073909277</c:v>
                </c:pt>
                <c:pt idx="80">
                  <c:v>16.1651757280613</c:v>
                </c:pt>
                <c:pt idx="81">
                  <c:v>16.4077676582974</c:v>
                </c:pt>
                <c:pt idx="82">
                  <c:v>16.6480323328208</c:v>
                </c:pt>
                <c:pt idx="83">
                  <c:v>16.8855940017084</c:v>
                </c:pt>
                <c:pt idx="84">
                  <c:v>17.1200691577557</c:v>
                </c:pt>
                <c:pt idx="85">
                  <c:v>17.3510669709271</c:v>
                </c:pt>
                <c:pt idx="86">
                  <c:v>17.5781480413932</c:v>
                </c:pt>
                <c:pt idx="87">
                  <c:v>17.8005867166634</c:v>
                </c:pt>
                <c:pt idx="88">
                  <c:v>18.0183418860118</c:v>
                </c:pt>
                <c:pt idx="89">
                  <c:v>18.2310281548456</c:v>
                </c:pt>
                <c:pt idx="90">
                  <c:v>18.4382665497758</c:v>
                </c:pt>
                <c:pt idx="91">
                  <c:v>18.6396909061302</c:v>
                </c:pt>
                <c:pt idx="92">
                  <c:v>18.8349579505745</c:v>
                </c:pt>
                <c:pt idx="93">
                  <c:v>19.0237636548138</c:v>
                </c:pt>
                <c:pt idx="94">
                  <c:v>19.2058705933906</c:v>
                </c:pt>
                <c:pt idx="95">
                  <c:v>19.380456356628</c:v>
                </c:pt>
                <c:pt idx="96">
                  <c:v>19.5466888100141</c:v>
                </c:pt>
                <c:pt idx="97">
                  <c:v>19.7051270016062</c:v>
                </c:pt>
                <c:pt idx="98">
                  <c:v>19.8559685923792</c:v>
                </c:pt>
                <c:pt idx="99">
                  <c:v>20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'Little finger results'!$F$2</c:f>
              <c:strCache>
                <c:ptCount val="1"/>
                <c:pt idx="0">
                  <c:v>45 deg deflection line</c:v>
                </c:pt>
              </c:strCache>
            </c:strRef>
          </c:tx>
          <c:spPr>
            <a:ln w="12600" cap="rnd" cmpd="sng" algn="ctr">
              <a:solidFill>
                <a:srgbClr val="4472C4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xVal>
            <c:numRef>
              <c:f>'Little finger results'!$A$3:$A$102</c:f>
              <c:numCache>
                <c:formatCode>General</c:formatCode>
                <c:ptCount val="100"/>
                <c:pt idx="0">
                  <c:v>0</c:v>
                </c:pt>
                <c:pt idx="1">
                  <c:v>0.244323114315042</c:v>
                </c:pt>
                <c:pt idx="2">
                  <c:v>0.488646228630084</c:v>
                </c:pt>
                <c:pt idx="3">
                  <c:v>0.732969342945126</c:v>
                </c:pt>
                <c:pt idx="4">
                  <c:v>0.977292457260167</c:v>
                </c:pt>
                <c:pt idx="5">
                  <c:v>1.22161557157521</c:v>
                </c:pt>
                <c:pt idx="6">
                  <c:v>1.46593868589025</c:v>
                </c:pt>
                <c:pt idx="7">
                  <c:v>1.71026180020529</c:v>
                </c:pt>
                <c:pt idx="8">
                  <c:v>1.95458491452033</c:v>
                </c:pt>
                <c:pt idx="9">
                  <c:v>2.19890802883538</c:v>
                </c:pt>
                <c:pt idx="10">
                  <c:v>2.44323114315042</c:v>
                </c:pt>
                <c:pt idx="11">
                  <c:v>2.68755425746546</c:v>
                </c:pt>
                <c:pt idx="12">
                  <c:v>2.9318773717805</c:v>
                </c:pt>
                <c:pt idx="13">
                  <c:v>3.17620048609554</c:v>
                </c:pt>
                <c:pt idx="14">
                  <c:v>3.42052360041058</c:v>
                </c:pt>
                <c:pt idx="15">
                  <c:v>3.66484671472562</c:v>
                </c:pt>
                <c:pt idx="16">
                  <c:v>3.90916982904067</c:v>
                </c:pt>
                <c:pt idx="17">
                  <c:v>4.15349294335571</c:v>
                </c:pt>
                <c:pt idx="18">
                  <c:v>4.39781605767075</c:v>
                </c:pt>
                <c:pt idx="19">
                  <c:v>4.64213917198579</c:v>
                </c:pt>
                <c:pt idx="20">
                  <c:v>4.88646228630083</c:v>
                </c:pt>
                <c:pt idx="21">
                  <c:v>5.13078540061587</c:v>
                </c:pt>
                <c:pt idx="22">
                  <c:v>5.37510851493092</c:v>
                </c:pt>
                <c:pt idx="23">
                  <c:v>5.61943162924596</c:v>
                </c:pt>
                <c:pt idx="24">
                  <c:v>5.863754743561</c:v>
                </c:pt>
                <c:pt idx="25">
                  <c:v>6.10807785787604</c:v>
                </c:pt>
                <c:pt idx="26">
                  <c:v>6.35240097219108</c:v>
                </c:pt>
                <c:pt idx="27">
                  <c:v>6.59672408650613</c:v>
                </c:pt>
                <c:pt idx="28">
                  <c:v>6.84104720082116</c:v>
                </c:pt>
                <c:pt idx="29">
                  <c:v>7.08537031513621</c:v>
                </c:pt>
                <c:pt idx="30">
                  <c:v>7.32969342945125</c:v>
                </c:pt>
                <c:pt idx="31">
                  <c:v>7.57401654376629</c:v>
                </c:pt>
                <c:pt idx="32">
                  <c:v>7.81833965808133</c:v>
                </c:pt>
                <c:pt idx="33">
                  <c:v>8.06266277239637</c:v>
                </c:pt>
                <c:pt idx="34">
                  <c:v>8.30698588671141</c:v>
                </c:pt>
                <c:pt idx="35">
                  <c:v>8.55130900102646</c:v>
                </c:pt>
                <c:pt idx="36">
                  <c:v>8.7956321153415</c:v>
                </c:pt>
                <c:pt idx="37">
                  <c:v>9.03995522965654</c:v>
                </c:pt>
                <c:pt idx="38">
                  <c:v>9.28427834397158</c:v>
                </c:pt>
                <c:pt idx="39">
                  <c:v>9.52860145828662</c:v>
                </c:pt>
                <c:pt idx="40">
                  <c:v>9.77292457260167</c:v>
                </c:pt>
                <c:pt idx="41">
                  <c:v>10.0172476869167</c:v>
                </c:pt>
                <c:pt idx="42">
                  <c:v>10.2615708012317</c:v>
                </c:pt>
                <c:pt idx="43">
                  <c:v>10.5058939155468</c:v>
                </c:pt>
                <c:pt idx="44">
                  <c:v>10.7502170298618</c:v>
                </c:pt>
                <c:pt idx="45">
                  <c:v>10.9945401441769</c:v>
                </c:pt>
                <c:pt idx="46">
                  <c:v>11.2388632584919</c:v>
                </c:pt>
                <c:pt idx="47">
                  <c:v>11.483186372807</c:v>
                </c:pt>
                <c:pt idx="48">
                  <c:v>11.727509487122</c:v>
                </c:pt>
                <c:pt idx="49">
                  <c:v>11.971832601437</c:v>
                </c:pt>
                <c:pt idx="50">
                  <c:v>12.2161557157521</c:v>
                </c:pt>
                <c:pt idx="51">
                  <c:v>12.4604788300671</c:v>
                </c:pt>
                <c:pt idx="52">
                  <c:v>12.7048019443822</c:v>
                </c:pt>
                <c:pt idx="53">
                  <c:v>12.9491250586972</c:v>
                </c:pt>
                <c:pt idx="54">
                  <c:v>13.1934481730122</c:v>
                </c:pt>
                <c:pt idx="55">
                  <c:v>13.4377712873273</c:v>
                </c:pt>
                <c:pt idx="56">
                  <c:v>13.6820944016423</c:v>
                </c:pt>
                <c:pt idx="57">
                  <c:v>13.9264175159574</c:v>
                </c:pt>
                <c:pt idx="58">
                  <c:v>14.1707406302724</c:v>
                </c:pt>
                <c:pt idx="59">
                  <c:v>14.4150637445875</c:v>
                </c:pt>
                <c:pt idx="60">
                  <c:v>14.6593868589025</c:v>
                </c:pt>
                <c:pt idx="61">
                  <c:v>14.9037099732175</c:v>
                </c:pt>
                <c:pt idx="62">
                  <c:v>15.1480330875326</c:v>
                </c:pt>
                <c:pt idx="63">
                  <c:v>15.3923562018476</c:v>
                </c:pt>
                <c:pt idx="64">
                  <c:v>15.6366793161627</c:v>
                </c:pt>
                <c:pt idx="65">
                  <c:v>15.8810024304777</c:v>
                </c:pt>
                <c:pt idx="66">
                  <c:v>16.1253255447927</c:v>
                </c:pt>
                <c:pt idx="67">
                  <c:v>16.3696486591078</c:v>
                </c:pt>
                <c:pt idx="68">
                  <c:v>16.6139717734228</c:v>
                </c:pt>
                <c:pt idx="69">
                  <c:v>16.8582948877379</c:v>
                </c:pt>
                <c:pt idx="70">
                  <c:v>17.1026180020529</c:v>
                </c:pt>
                <c:pt idx="71">
                  <c:v>17.346941116368</c:v>
                </c:pt>
                <c:pt idx="72">
                  <c:v>17.591264230683</c:v>
                </c:pt>
                <c:pt idx="73">
                  <c:v>17.835587344998</c:v>
                </c:pt>
                <c:pt idx="74">
                  <c:v>18.0799104593131</c:v>
                </c:pt>
                <c:pt idx="75">
                  <c:v>18.3242335736281</c:v>
                </c:pt>
                <c:pt idx="76">
                  <c:v>18.5685566879432</c:v>
                </c:pt>
                <c:pt idx="77">
                  <c:v>18.8128798022582</c:v>
                </c:pt>
                <c:pt idx="78">
                  <c:v>19.0572029165732</c:v>
                </c:pt>
                <c:pt idx="79">
                  <c:v>19.3015260308883</c:v>
                </c:pt>
                <c:pt idx="80">
                  <c:v>19.5458491452033</c:v>
                </c:pt>
                <c:pt idx="81">
                  <c:v>19.7901722595184</c:v>
                </c:pt>
                <c:pt idx="82">
                  <c:v>20.0344953738334</c:v>
                </c:pt>
                <c:pt idx="83">
                  <c:v>20.2788184881485</c:v>
                </c:pt>
                <c:pt idx="84">
                  <c:v>20.5231416024635</c:v>
                </c:pt>
                <c:pt idx="85">
                  <c:v>20.7674647167785</c:v>
                </c:pt>
                <c:pt idx="86">
                  <c:v>21.0117878310936</c:v>
                </c:pt>
                <c:pt idx="87">
                  <c:v>21.2561109454086</c:v>
                </c:pt>
                <c:pt idx="88">
                  <c:v>21.5004340597237</c:v>
                </c:pt>
                <c:pt idx="89">
                  <c:v>21.7447571740387</c:v>
                </c:pt>
                <c:pt idx="90">
                  <c:v>21.9890802883537</c:v>
                </c:pt>
                <c:pt idx="91">
                  <c:v>22.2334034026688</c:v>
                </c:pt>
                <c:pt idx="92">
                  <c:v>22.4777265169838</c:v>
                </c:pt>
                <c:pt idx="93">
                  <c:v>22.7220496312989</c:v>
                </c:pt>
                <c:pt idx="94">
                  <c:v>22.9663727456139</c:v>
                </c:pt>
                <c:pt idx="95">
                  <c:v>23.210695859929</c:v>
                </c:pt>
                <c:pt idx="96">
                  <c:v>23.455018974244</c:v>
                </c:pt>
                <c:pt idx="97">
                  <c:v>23.699342088559</c:v>
                </c:pt>
                <c:pt idx="98">
                  <c:v>23.9436652028741</c:v>
                </c:pt>
                <c:pt idx="99">
                  <c:v>24.1879883171891</c:v>
                </c:pt>
              </c:numCache>
            </c:numRef>
          </c:xVal>
          <c:yVal>
            <c:numRef>
              <c:f>'Little finger results'!$F$3:$F$102</c:f>
              <c:numCache>
                <c:formatCode>General</c:formatCode>
                <c:ptCount val="10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45</c:v>
                </c:pt>
                <c:pt idx="7">
                  <c:v>45</c:v>
                </c:pt>
                <c:pt idx="8">
                  <c:v>45</c:v>
                </c:pt>
                <c:pt idx="9">
                  <c:v>45</c:v>
                </c:pt>
                <c:pt idx="10">
                  <c:v>45</c:v>
                </c:pt>
                <c:pt idx="11">
                  <c:v>45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45</c:v>
                </c:pt>
                <c:pt idx="17">
                  <c:v>45</c:v>
                </c:pt>
                <c:pt idx="18">
                  <c:v>45</c:v>
                </c:pt>
                <c:pt idx="19">
                  <c:v>45</c:v>
                </c:pt>
                <c:pt idx="20">
                  <c:v>45</c:v>
                </c:pt>
                <c:pt idx="21">
                  <c:v>45</c:v>
                </c:pt>
                <c:pt idx="22">
                  <c:v>45</c:v>
                </c:pt>
                <c:pt idx="23">
                  <c:v>45</c:v>
                </c:pt>
                <c:pt idx="24">
                  <c:v>45</c:v>
                </c:pt>
                <c:pt idx="25">
                  <c:v>45</c:v>
                </c:pt>
                <c:pt idx="26">
                  <c:v>45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45</c:v>
                </c:pt>
                <c:pt idx="31">
                  <c:v>45</c:v>
                </c:pt>
                <c:pt idx="32">
                  <c:v>45</c:v>
                </c:pt>
                <c:pt idx="33">
                  <c:v>45</c:v>
                </c:pt>
                <c:pt idx="34">
                  <c:v>45</c:v>
                </c:pt>
                <c:pt idx="35">
                  <c:v>45</c:v>
                </c:pt>
                <c:pt idx="36">
                  <c:v>45</c:v>
                </c:pt>
                <c:pt idx="37">
                  <c:v>45</c:v>
                </c:pt>
                <c:pt idx="38">
                  <c:v>45</c:v>
                </c:pt>
                <c:pt idx="39">
                  <c:v>45</c:v>
                </c:pt>
                <c:pt idx="40">
                  <c:v>45</c:v>
                </c:pt>
                <c:pt idx="41">
                  <c:v>45</c:v>
                </c:pt>
                <c:pt idx="42">
                  <c:v>45</c:v>
                </c:pt>
                <c:pt idx="43">
                  <c:v>45</c:v>
                </c:pt>
                <c:pt idx="44">
                  <c:v>45</c:v>
                </c:pt>
                <c:pt idx="45">
                  <c:v>45</c:v>
                </c:pt>
                <c:pt idx="46">
                  <c:v>45</c:v>
                </c:pt>
                <c:pt idx="47">
                  <c:v>45</c:v>
                </c:pt>
                <c:pt idx="48">
                  <c:v>45</c:v>
                </c:pt>
                <c:pt idx="49">
                  <c:v>45</c:v>
                </c:pt>
                <c:pt idx="50">
                  <c:v>45</c:v>
                </c:pt>
                <c:pt idx="51">
                  <c:v>45</c:v>
                </c:pt>
                <c:pt idx="52">
                  <c:v>45</c:v>
                </c:pt>
                <c:pt idx="53">
                  <c:v>45</c:v>
                </c:pt>
                <c:pt idx="54">
                  <c:v>45</c:v>
                </c:pt>
                <c:pt idx="55">
                  <c:v>45</c:v>
                </c:pt>
                <c:pt idx="56">
                  <c:v>45</c:v>
                </c:pt>
                <c:pt idx="57">
                  <c:v>45</c:v>
                </c:pt>
                <c:pt idx="58">
                  <c:v>45</c:v>
                </c:pt>
                <c:pt idx="59">
                  <c:v>45</c:v>
                </c:pt>
                <c:pt idx="60">
                  <c:v>45</c:v>
                </c:pt>
                <c:pt idx="61">
                  <c:v>45</c:v>
                </c:pt>
                <c:pt idx="62">
                  <c:v>45</c:v>
                </c:pt>
                <c:pt idx="63">
                  <c:v>45</c:v>
                </c:pt>
                <c:pt idx="64">
                  <c:v>45</c:v>
                </c:pt>
                <c:pt idx="65">
                  <c:v>45</c:v>
                </c:pt>
                <c:pt idx="66">
                  <c:v>45</c:v>
                </c:pt>
                <c:pt idx="67">
                  <c:v>45</c:v>
                </c:pt>
                <c:pt idx="68">
                  <c:v>45</c:v>
                </c:pt>
                <c:pt idx="69">
                  <c:v>45</c:v>
                </c:pt>
                <c:pt idx="70">
                  <c:v>45</c:v>
                </c:pt>
                <c:pt idx="71">
                  <c:v>45</c:v>
                </c:pt>
                <c:pt idx="72">
                  <c:v>45</c:v>
                </c:pt>
                <c:pt idx="73">
                  <c:v>45</c:v>
                </c:pt>
                <c:pt idx="74">
                  <c:v>45</c:v>
                </c:pt>
                <c:pt idx="75">
                  <c:v>45</c:v>
                </c:pt>
                <c:pt idx="76">
                  <c:v>45</c:v>
                </c:pt>
                <c:pt idx="77">
                  <c:v>45</c:v>
                </c:pt>
                <c:pt idx="78">
                  <c:v>45</c:v>
                </c:pt>
                <c:pt idx="79">
                  <c:v>45</c:v>
                </c:pt>
                <c:pt idx="80">
                  <c:v>45</c:v>
                </c:pt>
                <c:pt idx="81">
                  <c:v>45</c:v>
                </c:pt>
                <c:pt idx="82">
                  <c:v>45</c:v>
                </c:pt>
                <c:pt idx="83">
                  <c:v>45</c:v>
                </c:pt>
                <c:pt idx="84">
                  <c:v>45</c:v>
                </c:pt>
                <c:pt idx="85">
                  <c:v>45</c:v>
                </c:pt>
                <c:pt idx="86">
                  <c:v>45</c:v>
                </c:pt>
                <c:pt idx="87">
                  <c:v>45</c:v>
                </c:pt>
                <c:pt idx="88">
                  <c:v>45</c:v>
                </c:pt>
                <c:pt idx="89">
                  <c:v>45</c:v>
                </c:pt>
                <c:pt idx="90">
                  <c:v>45</c:v>
                </c:pt>
                <c:pt idx="91">
                  <c:v>45</c:v>
                </c:pt>
                <c:pt idx="92">
                  <c:v>45</c:v>
                </c:pt>
                <c:pt idx="93">
                  <c:v>45</c:v>
                </c:pt>
                <c:pt idx="94">
                  <c:v>45</c:v>
                </c:pt>
                <c:pt idx="95">
                  <c:v>45</c:v>
                </c:pt>
                <c:pt idx="96">
                  <c:v>45</c:v>
                </c:pt>
                <c:pt idx="97">
                  <c:v>45</c:v>
                </c:pt>
                <c:pt idx="98">
                  <c:v>45</c:v>
                </c:pt>
                <c:pt idx="99">
                  <c:v>45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axId val="74394313"/>
        <c:axId val="45553684"/>
      </c:scatterChart>
      <c:valAx>
        <c:axId val="74394313"/>
        <c:scaling>
          <c:orientation val="minMax"/>
          <c:max val="25"/>
        </c:scaling>
        <c:delete val="0"/>
        <c:axPos val="b"/>
        <c:majorGridlines>
          <c:spPr>
            <a:ln w="9360" cap="flat" cmpd="sng" algn="ctr">
              <a:solidFill>
                <a:srgbClr val="D9D9D9"/>
              </a:solidFill>
              <a:prstDash val="solid"/>
              <a:round/>
            </a:ln>
          </c:spPr>
        </c:majorGridlines>
        <c:minorGridlines>
          <c:spPr>
            <a:ln w="9360" cap="flat" cmpd="sng" algn="ctr">
              <a:solidFill>
                <a:srgbClr val="F2F2F2"/>
              </a:solidFill>
              <a:prstDash val="solid"/>
              <a:round/>
            </a:ln>
          </c:spPr>
        </c:minorGridlines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BFBFB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spc="-1" baseline="0">
                <a:solidFill>
                  <a:srgbClr val="595959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45553684"/>
        <c:crosses val="autoZero"/>
        <c:crossBetween val="midCat"/>
      </c:valAx>
      <c:valAx>
        <c:axId val="45553684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D9D9D9"/>
              </a:solidFill>
              <a:prstDash val="solid"/>
              <a:round/>
            </a:ln>
          </c:spPr>
        </c:majorGridlines>
        <c:minorGridlines>
          <c:spPr>
            <a:ln w="9360" cap="flat" cmpd="sng" algn="ctr">
              <a:solidFill>
                <a:srgbClr val="F2F2F2"/>
              </a:solidFill>
              <a:prstDash val="solid"/>
              <a:round/>
            </a:ln>
          </c:spPr>
        </c:minorGridlines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BFBFB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spc="-1" baseline="0">
                <a:solidFill>
                  <a:srgbClr val="595959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74394313"/>
        <c:crosses val="autoZero"/>
        <c:crossBetween val="midCat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spc="-1" baseline="0">
              <a:solidFill>
                <a:srgbClr val="595959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IN" sz="1400" b="0" i="0" u="none" strike="noStrike" kern="1200" spc="-1" baseline="0">
                <a:solidFill>
                  <a:srgbClr val="595959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lang="en-IN" sz="1400" b="0" strike="noStrike" spc="-1">
                <a:solidFill>
                  <a:srgbClr val="595959"/>
                </a:solidFill>
                <a:latin typeface="Calibri" panose="020F0502020204030204"/>
              </a:rPr>
              <a:t>Little finger</a:t>
            </a:r>
            <a:endParaRPr lang="en-IN" sz="1400" b="0" strike="noStrike" spc="-1">
              <a:solidFill>
                <a:srgbClr val="595959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scatterChart>
        <c:scatterStyle val="line"/>
        <c:varyColors val="0"/>
        <c:ser>
          <c:idx val="0"/>
          <c:order val="0"/>
          <c:spPr>
            <a:ln w="19080" cap="rnd" cmpd="sng" algn="ctr">
              <a:solidFill>
                <a:srgbClr val="5B9BD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xVal>
            <c:numRef>
              <c:f>'Little finger results'!$H$4:$H$102</c:f>
              <c:numCache>
                <c:formatCode>General</c:formatCode>
                <c:ptCount val="99"/>
                <c:pt idx="0">
                  <c:v>0.324931448862147</c:v>
                </c:pt>
                <c:pt idx="1">
                  <c:v>0.649862897724295</c:v>
                </c:pt>
                <c:pt idx="2">
                  <c:v>0.974794346586435</c:v>
                </c:pt>
                <c:pt idx="3">
                  <c:v>1.29972579544858</c:v>
                </c:pt>
                <c:pt idx="4">
                  <c:v>1.62465724431073</c:v>
                </c:pt>
                <c:pt idx="5">
                  <c:v>1.94958869317288</c:v>
                </c:pt>
                <c:pt idx="6">
                  <c:v>2.27452014203502</c:v>
                </c:pt>
                <c:pt idx="7">
                  <c:v>2.59945159089716</c:v>
                </c:pt>
                <c:pt idx="8">
                  <c:v>2.92438303975931</c:v>
                </c:pt>
                <c:pt idx="9">
                  <c:v>3.24931448862146</c:v>
                </c:pt>
                <c:pt idx="10">
                  <c:v>3.57424593748361</c:v>
                </c:pt>
                <c:pt idx="11">
                  <c:v>3.89917738634575</c:v>
                </c:pt>
                <c:pt idx="12">
                  <c:v>4.22410883520789</c:v>
                </c:pt>
                <c:pt idx="13">
                  <c:v>4.54904028407004</c:v>
                </c:pt>
                <c:pt idx="14">
                  <c:v>4.87397173293219</c:v>
                </c:pt>
                <c:pt idx="15">
                  <c:v>5.19890318179434</c:v>
                </c:pt>
                <c:pt idx="16">
                  <c:v>5.52383463065647</c:v>
                </c:pt>
                <c:pt idx="17">
                  <c:v>5.84876607951862</c:v>
                </c:pt>
                <c:pt idx="18">
                  <c:v>6.17369752838077</c:v>
                </c:pt>
                <c:pt idx="19">
                  <c:v>6.49862897724292</c:v>
                </c:pt>
                <c:pt idx="20">
                  <c:v>6.82356042610507</c:v>
                </c:pt>
                <c:pt idx="21">
                  <c:v>7.1484918749672</c:v>
                </c:pt>
                <c:pt idx="22">
                  <c:v>7.47342332382935</c:v>
                </c:pt>
                <c:pt idx="23">
                  <c:v>7.7983547726915</c:v>
                </c:pt>
                <c:pt idx="24">
                  <c:v>8.12328622155365</c:v>
                </c:pt>
                <c:pt idx="25">
                  <c:v>8.44821767041579</c:v>
                </c:pt>
                <c:pt idx="26">
                  <c:v>8.77314911927794</c:v>
                </c:pt>
                <c:pt idx="27">
                  <c:v>9.09808056814008</c:v>
                </c:pt>
                <c:pt idx="28">
                  <c:v>9.42301201700223</c:v>
                </c:pt>
                <c:pt idx="29">
                  <c:v>9.74794346586437</c:v>
                </c:pt>
                <c:pt idx="30">
                  <c:v>10.0728749147265</c:v>
                </c:pt>
                <c:pt idx="31">
                  <c:v>10.3978063635887</c:v>
                </c:pt>
                <c:pt idx="32">
                  <c:v>10.7227378124508</c:v>
                </c:pt>
                <c:pt idx="33">
                  <c:v>11.047669261313</c:v>
                </c:pt>
                <c:pt idx="34">
                  <c:v>11.3726007101751</c:v>
                </c:pt>
                <c:pt idx="35">
                  <c:v>11.6975321590373</c:v>
                </c:pt>
                <c:pt idx="36">
                  <c:v>12.0224636078994</c:v>
                </c:pt>
                <c:pt idx="37">
                  <c:v>12.3473950567615</c:v>
                </c:pt>
                <c:pt idx="38">
                  <c:v>12.6723265056237</c:v>
                </c:pt>
                <c:pt idx="39">
                  <c:v>12.9972579544858</c:v>
                </c:pt>
                <c:pt idx="40">
                  <c:v>13.322189403348</c:v>
                </c:pt>
                <c:pt idx="41">
                  <c:v>13.6471208522101</c:v>
                </c:pt>
                <c:pt idx="42">
                  <c:v>13.9720523010723</c:v>
                </c:pt>
                <c:pt idx="43">
                  <c:v>14.2969837499344</c:v>
                </c:pt>
                <c:pt idx="44">
                  <c:v>14.6219151987966</c:v>
                </c:pt>
                <c:pt idx="45">
                  <c:v>14.9468466476587</c:v>
                </c:pt>
                <c:pt idx="46">
                  <c:v>15.2717780965209</c:v>
                </c:pt>
                <c:pt idx="47">
                  <c:v>15.596709545383</c:v>
                </c:pt>
                <c:pt idx="48">
                  <c:v>15.9216409942451</c:v>
                </c:pt>
                <c:pt idx="49">
                  <c:v>16.2465724431073</c:v>
                </c:pt>
                <c:pt idx="50">
                  <c:v>16.5715038919694</c:v>
                </c:pt>
                <c:pt idx="51">
                  <c:v>16.8964353408316</c:v>
                </c:pt>
                <c:pt idx="52">
                  <c:v>17.2213667896937</c:v>
                </c:pt>
                <c:pt idx="53">
                  <c:v>17.5462982385559</c:v>
                </c:pt>
                <c:pt idx="54">
                  <c:v>17.871229687418</c:v>
                </c:pt>
                <c:pt idx="55">
                  <c:v>18.1961611362802</c:v>
                </c:pt>
                <c:pt idx="56">
                  <c:v>18.5210925851423</c:v>
                </c:pt>
                <c:pt idx="57">
                  <c:v>18.8460240340045</c:v>
                </c:pt>
                <c:pt idx="58">
                  <c:v>19.1709554828666</c:v>
                </c:pt>
                <c:pt idx="59">
                  <c:v>19.4958869317287</c:v>
                </c:pt>
                <c:pt idx="60">
                  <c:v>19.8208183805909</c:v>
                </c:pt>
                <c:pt idx="61">
                  <c:v>20.145749829453</c:v>
                </c:pt>
                <c:pt idx="62">
                  <c:v>20.4706812783152</c:v>
                </c:pt>
                <c:pt idx="63">
                  <c:v>20.7956127271773</c:v>
                </c:pt>
                <c:pt idx="64">
                  <c:v>21.1205441760395</c:v>
                </c:pt>
                <c:pt idx="65">
                  <c:v>21.4454756249016</c:v>
                </c:pt>
                <c:pt idx="66">
                  <c:v>21.7704070737638</c:v>
                </c:pt>
                <c:pt idx="67">
                  <c:v>22.0953385226259</c:v>
                </c:pt>
                <c:pt idx="68">
                  <c:v>22.4202699714881</c:v>
                </c:pt>
                <c:pt idx="69">
                  <c:v>22.7452014203502</c:v>
                </c:pt>
                <c:pt idx="70">
                  <c:v>23.0701328692123</c:v>
                </c:pt>
                <c:pt idx="71">
                  <c:v>23.3950643180745</c:v>
                </c:pt>
                <c:pt idx="72">
                  <c:v>23.7199957669366</c:v>
                </c:pt>
                <c:pt idx="73">
                  <c:v>24.0449272157988</c:v>
                </c:pt>
                <c:pt idx="74">
                  <c:v>24.3698586646609</c:v>
                </c:pt>
                <c:pt idx="75">
                  <c:v>24.6947901135231</c:v>
                </c:pt>
                <c:pt idx="76">
                  <c:v>25.0197215623852</c:v>
                </c:pt>
                <c:pt idx="77">
                  <c:v>25.3446530112474</c:v>
                </c:pt>
                <c:pt idx="78">
                  <c:v>25.6695844601095</c:v>
                </c:pt>
                <c:pt idx="79">
                  <c:v>25.9945159089717</c:v>
                </c:pt>
                <c:pt idx="80">
                  <c:v>26.3194473578338</c:v>
                </c:pt>
                <c:pt idx="81">
                  <c:v>26.644378806696</c:v>
                </c:pt>
                <c:pt idx="82">
                  <c:v>26.9693102555581</c:v>
                </c:pt>
                <c:pt idx="83">
                  <c:v>27.2942417044202</c:v>
                </c:pt>
                <c:pt idx="84">
                  <c:v>27.6191731532824</c:v>
                </c:pt>
                <c:pt idx="85">
                  <c:v>27.9441046021445</c:v>
                </c:pt>
                <c:pt idx="86">
                  <c:v>28.2690360510067</c:v>
                </c:pt>
                <c:pt idx="87">
                  <c:v>28.5939674998688</c:v>
                </c:pt>
                <c:pt idx="88">
                  <c:v>28.918898948731</c:v>
                </c:pt>
                <c:pt idx="89">
                  <c:v>29.2438303975931</c:v>
                </c:pt>
                <c:pt idx="90">
                  <c:v>29.5687618464553</c:v>
                </c:pt>
                <c:pt idx="91">
                  <c:v>29.8936932953174</c:v>
                </c:pt>
                <c:pt idx="92">
                  <c:v>30.2186247441796</c:v>
                </c:pt>
                <c:pt idx="93">
                  <c:v>30.5435561930417</c:v>
                </c:pt>
                <c:pt idx="94">
                  <c:v>30.8684876419038</c:v>
                </c:pt>
                <c:pt idx="95">
                  <c:v>31.193419090766</c:v>
                </c:pt>
                <c:pt idx="96">
                  <c:v>31.5183505396281</c:v>
                </c:pt>
                <c:pt idx="97">
                  <c:v>31.8432819884903</c:v>
                </c:pt>
                <c:pt idx="98">
                  <c:v>32.1682134373524</c:v>
                </c:pt>
              </c:numCache>
            </c:numRef>
          </c:xVal>
          <c:yVal>
            <c:numRef>
              <c:f>'Little finger results'!$Q$4:$Q$102</c:f>
              <c:numCache>
                <c:formatCode>General</c:formatCode>
                <c:ptCount val="99"/>
                <c:pt idx="0">
                  <c:v>3.24594586072016</c:v>
                </c:pt>
                <c:pt idx="1">
                  <c:v>2.46460827212632</c:v>
                </c:pt>
                <c:pt idx="2">
                  <c:v>2.16047070837084</c:v>
                </c:pt>
                <c:pt idx="3">
                  <c:v>1.78339197037634</c:v>
                </c:pt>
                <c:pt idx="4">
                  <c:v>1.72365866132261</c:v>
                </c:pt>
                <c:pt idx="5">
                  <c:v>1.5099856475491</c:v>
                </c:pt>
                <c:pt idx="6">
                  <c:v>1.50998564754908</c:v>
                </c:pt>
                <c:pt idx="7">
                  <c:v>1.33997910453251</c:v>
                </c:pt>
                <c:pt idx="8">
                  <c:v>1.33175757631741</c:v>
                </c:pt>
                <c:pt idx="9">
                  <c:v>1.28652399276395</c:v>
                </c:pt>
                <c:pt idx="10">
                  <c:v>1.21463059961259</c:v>
                </c:pt>
                <c:pt idx="11">
                  <c:v>1.21463059961262</c:v>
                </c:pt>
                <c:pt idx="12">
                  <c:v>1.17178119303131</c:v>
                </c:pt>
                <c:pt idx="13">
                  <c:v>1.13957644042901</c:v>
                </c:pt>
                <c:pt idx="14">
                  <c:v>1.13957644042898</c:v>
                </c:pt>
                <c:pt idx="15">
                  <c:v>1.11422524451905</c:v>
                </c:pt>
                <c:pt idx="16">
                  <c:v>1.09511744358234</c:v>
                </c:pt>
                <c:pt idx="17">
                  <c:v>1.0951174435823</c:v>
                </c:pt>
                <c:pt idx="18">
                  <c:v>1.08562276900865</c:v>
                </c:pt>
                <c:pt idx="19">
                  <c:v>1.07390960671088</c:v>
                </c:pt>
                <c:pt idx="20">
                  <c:v>1.07390960671089</c:v>
                </c:pt>
                <c:pt idx="21">
                  <c:v>1.07315052264746</c:v>
                </c:pt>
                <c:pt idx="22">
                  <c:v>1.07102898024359</c:v>
                </c:pt>
                <c:pt idx="23">
                  <c:v>1.07102898024359</c:v>
                </c:pt>
                <c:pt idx="24">
                  <c:v>1.07187927764375</c:v>
                </c:pt>
                <c:pt idx="25">
                  <c:v>1.08304452953801</c:v>
                </c:pt>
                <c:pt idx="26">
                  <c:v>1.08304452953797</c:v>
                </c:pt>
                <c:pt idx="27">
                  <c:v>1.0830445295377</c:v>
                </c:pt>
                <c:pt idx="28">
                  <c:v>1.10536920792568</c:v>
                </c:pt>
                <c:pt idx="29">
                  <c:v>1.10748474337976</c:v>
                </c:pt>
                <c:pt idx="30">
                  <c:v>1.1074847433801</c:v>
                </c:pt>
                <c:pt idx="31">
                  <c:v>1.13641264624218</c:v>
                </c:pt>
                <c:pt idx="32">
                  <c:v>1.14251528498139</c:v>
                </c:pt>
                <c:pt idx="33">
                  <c:v>1.14251528498104</c:v>
                </c:pt>
                <c:pt idx="34">
                  <c:v>1.17934332135155</c:v>
                </c:pt>
                <c:pt idx="35">
                  <c:v>1.18673661829216</c:v>
                </c:pt>
                <c:pt idx="36">
                  <c:v>1.18673661829283</c:v>
                </c:pt>
                <c:pt idx="37">
                  <c:v>1.23650867711767</c:v>
                </c:pt>
                <c:pt idx="38">
                  <c:v>1.23905339325846</c:v>
                </c:pt>
                <c:pt idx="39">
                  <c:v>1.25045864995155</c:v>
                </c:pt>
                <c:pt idx="40">
                  <c:v>1.29858865340746</c:v>
                </c:pt>
                <c:pt idx="41">
                  <c:v>1.29858865340817</c:v>
                </c:pt>
                <c:pt idx="42">
                  <c:v>1.33545851544375</c:v>
                </c:pt>
                <c:pt idx="43">
                  <c:v>1.36462709944822</c:v>
                </c:pt>
                <c:pt idx="44">
                  <c:v>1.36840294353492</c:v>
                </c:pt>
                <c:pt idx="45">
                  <c:v>1.43657781954249</c:v>
                </c:pt>
                <c:pt idx="46">
                  <c:v>1.43657781954238</c:v>
                </c:pt>
                <c:pt idx="47">
                  <c:v>1.48858396043675</c:v>
                </c:pt>
                <c:pt idx="48">
                  <c:v>1.51395047885492</c:v>
                </c:pt>
                <c:pt idx="49">
                  <c:v>1.54801692502967</c:v>
                </c:pt>
                <c:pt idx="50">
                  <c:v>1.5963411244011</c:v>
                </c:pt>
                <c:pt idx="51">
                  <c:v>1.61997338439139</c:v>
                </c:pt>
                <c:pt idx="52">
                  <c:v>1.68342510955918</c:v>
                </c:pt>
                <c:pt idx="53">
                  <c:v>1.70540001318249</c:v>
                </c:pt>
                <c:pt idx="54">
                  <c:v>1.77495549817237</c:v>
                </c:pt>
                <c:pt idx="55">
                  <c:v>1.80499607302286</c:v>
                </c:pt>
                <c:pt idx="56">
                  <c:v>1.87076584839679</c:v>
                </c:pt>
                <c:pt idx="57">
                  <c:v>1.91933785292996</c:v>
                </c:pt>
                <c:pt idx="58">
                  <c:v>1.97077659936442</c:v>
                </c:pt>
                <c:pt idx="59">
                  <c:v>2.04900506661993</c:v>
                </c:pt>
                <c:pt idx="60">
                  <c:v>2.08614285044896</c:v>
                </c:pt>
                <c:pt idx="61">
                  <c:v>2.18357405988306</c:v>
                </c:pt>
                <c:pt idx="62">
                  <c:v>2.24429101847313</c:v>
                </c:pt>
                <c:pt idx="63">
                  <c:v>2.30236675124358</c:v>
                </c:pt>
                <c:pt idx="64">
                  <c:v>2.41485835299423</c:v>
                </c:pt>
                <c:pt idx="65">
                  <c:v>2.49294933549591</c:v>
                </c:pt>
                <c:pt idx="66">
                  <c:v>2.57542957890141</c:v>
                </c:pt>
                <c:pt idx="67">
                  <c:v>2.66871847857797</c:v>
                </c:pt>
                <c:pt idx="68">
                  <c:v>2.80515698220289</c:v>
                </c:pt>
                <c:pt idx="69">
                  <c:v>2.9187752400227</c:v>
                </c:pt>
                <c:pt idx="70">
                  <c:v>3.04638455801763</c:v>
                </c:pt>
                <c:pt idx="71">
                  <c:v>3.19033762718774</c:v>
                </c:pt>
                <c:pt idx="72">
                  <c:v>3.35298427610704</c:v>
                </c:pt>
                <c:pt idx="73">
                  <c:v>3.53705703655174</c:v>
                </c:pt>
                <c:pt idx="74">
                  <c:v>3.74556010791869</c:v>
                </c:pt>
                <c:pt idx="75">
                  <c:v>3.98156443291227</c:v>
                </c:pt>
                <c:pt idx="76">
                  <c:v>4.25133146643453</c:v>
                </c:pt>
                <c:pt idx="77">
                  <c:v>4.61295428866466</c:v>
                </c:pt>
                <c:pt idx="78">
                  <c:v>4.96456890311409</c:v>
                </c:pt>
                <c:pt idx="79">
                  <c:v>5.42370827878805</c:v>
                </c:pt>
                <c:pt idx="80">
                  <c:v>5.91469343981333</c:v>
                </c:pt>
                <c:pt idx="81">
                  <c:v>6.49781679140386</c:v>
                </c:pt>
                <c:pt idx="82">
                  <c:v>7.14393545092725</c:v>
                </c:pt>
                <c:pt idx="83">
                  <c:v>7.81045848910562</c:v>
                </c:pt>
                <c:pt idx="84">
                  <c:v>8.45152074768495</c:v>
                </c:pt>
                <c:pt idx="85">
                  <c:v>9.06485088442901</c:v>
                </c:pt>
                <c:pt idx="86">
                  <c:v>9.55753442022569</c:v>
                </c:pt>
                <c:pt idx="87">
                  <c:v>9.92525646225184</c:v>
                </c:pt>
                <c:pt idx="88">
                  <c:v>10.1525985424643</c:v>
                </c:pt>
                <c:pt idx="89">
                  <c:v>10.2582628086801</c:v>
                </c:pt>
                <c:pt idx="90">
                  <c:v>10.2839607784106</c:v>
                </c:pt>
                <c:pt idx="91">
                  <c:v>10.269612525074</c:v>
                </c:pt>
                <c:pt idx="92">
                  <c:v>10.2257609289741</c:v>
                </c:pt>
                <c:pt idx="93">
                  <c:v>10.1386047761669</c:v>
                </c:pt>
                <c:pt idx="94">
                  <c:v>9.9957760104701</c:v>
                </c:pt>
                <c:pt idx="95">
                  <c:v>9.79217288946625</c:v>
                </c:pt>
                <c:pt idx="96">
                  <c:v>9.52331985427232</c:v>
                </c:pt>
                <c:pt idx="97">
                  <c:v>9.19516539991077</c:v>
                </c:pt>
                <c:pt idx="98">
                  <c:v>8.80931352179398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axId val="62389096"/>
        <c:axId val="64616525"/>
      </c:scatterChart>
      <c:valAx>
        <c:axId val="62389096"/>
        <c:scaling>
          <c:orientation val="minMax"/>
        </c:scaling>
        <c:delete val="0"/>
        <c:axPos val="b"/>
        <c:majorGridlines>
          <c:spPr>
            <a:ln w="9360" cap="flat" cmpd="sng" algn="ctr">
              <a:solidFill>
                <a:srgbClr val="D9D9D9"/>
              </a:solidFill>
              <a:prstDash val="solid"/>
              <a:round/>
            </a:ln>
          </c:spPr>
        </c:majorGridlines>
        <c:minorGridlines>
          <c:spPr>
            <a:ln w="9360" cap="flat" cmpd="sng" algn="ctr">
              <a:solidFill>
                <a:srgbClr val="F2F2F2"/>
              </a:solidFill>
              <a:prstDash val="solid"/>
              <a:round/>
            </a:ln>
          </c:spPr>
        </c:minorGridlines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IN" sz="1000" b="0" i="0" u="none" strike="noStrike" kern="1200" spc="-1" baseline="0">
                    <a:solidFill>
                      <a:srgbClr val="595959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lang="en-IN" sz="1000" b="0" strike="noStrike" spc="-1">
                    <a:solidFill>
                      <a:srgbClr val="595959"/>
                    </a:solidFill>
                    <a:latin typeface="Calibri" panose="020F0502020204030204"/>
                  </a:rPr>
                  <a:t>Actuator displacement (mm)</a:t>
                </a:r>
                <a:endParaRPr lang="en-IN" sz="1000" b="0" strike="noStrike" spc="-1">
                  <a:solidFill>
                    <a:srgbClr val="595959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BFBFB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spc="-1" baseline="0">
                <a:solidFill>
                  <a:srgbClr val="595959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64616525"/>
        <c:crosses val="autoZero"/>
        <c:crossBetween val="midCat"/>
      </c:valAx>
      <c:valAx>
        <c:axId val="64616525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D9D9D9"/>
              </a:solidFill>
              <a:prstDash val="solid"/>
              <a:round/>
            </a:ln>
          </c:spPr>
        </c:majorGridlines>
        <c:minorGridlines>
          <c:spPr>
            <a:ln w="9360" cap="flat" cmpd="sng" algn="ctr">
              <a:solidFill>
                <a:srgbClr val="F2F2F2"/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rgbClr val="595959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lang="en-US" sz="1000" b="0" strike="noStrike" spc="-1">
                    <a:solidFill>
                      <a:srgbClr val="595959"/>
                    </a:solidFill>
                    <a:latin typeface="Calibri" panose="020F0502020204030204"/>
                  </a:rPr>
                  <a:t>∂(theta1)/∂x</a:t>
                </a:r>
                <a:endParaRPr lang="en-US" sz="1000" b="0" strike="noStrike" spc="-1">
                  <a:solidFill>
                    <a:srgbClr val="595959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BFBFBF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spc="-1" baseline="0">
                <a:solidFill>
                  <a:srgbClr val="595959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6238909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0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88920</xdr:colOff>
      <xdr:row>102</xdr:row>
      <xdr:rowOff>167760</xdr:rowOff>
    </xdr:from>
    <xdr:to>
      <xdr:col>8</xdr:col>
      <xdr:colOff>69480</xdr:colOff>
      <xdr:row>131</xdr:row>
      <xdr:rowOff>165600</xdr:rowOff>
    </xdr:to>
    <xdr:graphicFrame>
      <xdr:nvGraphicFramePr>
        <xdr:cNvPr id="2" name="Chart 2"/>
        <xdr:cNvGraphicFramePr/>
      </xdr:nvGraphicFramePr>
      <xdr:xfrm>
        <a:off x="88900" y="18821400"/>
        <a:ext cx="5394325" cy="53009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170640</xdr:colOff>
      <xdr:row>102</xdr:row>
      <xdr:rowOff>177840</xdr:rowOff>
    </xdr:from>
    <xdr:to>
      <xdr:col>15</xdr:col>
      <xdr:colOff>761400</xdr:colOff>
      <xdr:row>131</xdr:row>
      <xdr:rowOff>175680</xdr:rowOff>
    </xdr:to>
    <xdr:graphicFrame>
      <xdr:nvGraphicFramePr>
        <xdr:cNvPr id="3" name="Chart 3"/>
        <xdr:cNvGraphicFramePr/>
      </xdr:nvGraphicFramePr>
      <xdr:xfrm>
        <a:off x="5584190" y="18831560"/>
        <a:ext cx="5410200" cy="53009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882720</xdr:colOff>
      <xdr:row>103</xdr:row>
      <xdr:rowOff>5040</xdr:rowOff>
    </xdr:from>
    <xdr:to>
      <xdr:col>20</xdr:col>
      <xdr:colOff>460800</xdr:colOff>
      <xdr:row>122</xdr:row>
      <xdr:rowOff>61920</xdr:rowOff>
    </xdr:to>
    <xdr:graphicFrame>
      <xdr:nvGraphicFramePr>
        <xdr:cNvPr id="4" name="Chart 3"/>
        <xdr:cNvGraphicFramePr/>
      </xdr:nvGraphicFramePr>
      <xdr:xfrm>
        <a:off x="11115675" y="18841085"/>
        <a:ext cx="3603625" cy="35318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43200</xdr:colOff>
      <xdr:row>102</xdr:row>
      <xdr:rowOff>83880</xdr:rowOff>
    </xdr:from>
    <xdr:to>
      <xdr:col>8</xdr:col>
      <xdr:colOff>23760</xdr:colOff>
      <xdr:row>131</xdr:row>
      <xdr:rowOff>81720</xdr:rowOff>
    </xdr:to>
    <xdr:graphicFrame>
      <xdr:nvGraphicFramePr>
        <xdr:cNvPr id="3" name="Chart 1"/>
        <xdr:cNvGraphicFramePr/>
      </xdr:nvGraphicFramePr>
      <xdr:xfrm>
        <a:off x="43180" y="18737580"/>
        <a:ext cx="5394325" cy="53009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262800</xdr:colOff>
      <xdr:row>102</xdr:row>
      <xdr:rowOff>78840</xdr:rowOff>
    </xdr:from>
    <xdr:to>
      <xdr:col>16</xdr:col>
      <xdr:colOff>244080</xdr:colOff>
      <xdr:row>131</xdr:row>
      <xdr:rowOff>76680</xdr:rowOff>
    </xdr:to>
    <xdr:graphicFrame>
      <xdr:nvGraphicFramePr>
        <xdr:cNvPr id="4" name="Chart 3"/>
        <xdr:cNvGraphicFramePr/>
      </xdr:nvGraphicFramePr>
      <xdr:xfrm>
        <a:off x="5676265" y="18732500"/>
        <a:ext cx="5410835" cy="53009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399960</xdr:colOff>
      <xdr:row>102</xdr:row>
      <xdr:rowOff>99000</xdr:rowOff>
    </xdr:from>
    <xdr:to>
      <xdr:col>20</xdr:col>
      <xdr:colOff>587520</xdr:colOff>
      <xdr:row>121</xdr:row>
      <xdr:rowOff>158400</xdr:rowOff>
    </xdr:to>
    <xdr:graphicFrame>
      <xdr:nvGraphicFramePr>
        <xdr:cNvPr id="5" name="Chart 2"/>
        <xdr:cNvGraphicFramePr/>
      </xdr:nvGraphicFramePr>
      <xdr:xfrm>
        <a:off x="11242675" y="18752185"/>
        <a:ext cx="3603625" cy="35344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331560</xdr:colOff>
      <xdr:row>102</xdr:row>
      <xdr:rowOff>137160</xdr:rowOff>
    </xdr:from>
    <xdr:to>
      <xdr:col>16</xdr:col>
      <xdr:colOff>148680</xdr:colOff>
      <xdr:row>132</xdr:row>
      <xdr:rowOff>50760</xdr:rowOff>
    </xdr:to>
    <xdr:graphicFrame>
      <xdr:nvGraphicFramePr>
        <xdr:cNvPr id="6" name="Chart 5"/>
        <xdr:cNvGraphicFramePr/>
      </xdr:nvGraphicFramePr>
      <xdr:xfrm>
        <a:off x="5745480" y="18790920"/>
        <a:ext cx="5246370" cy="53994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142200</xdr:colOff>
      <xdr:row>102</xdr:row>
      <xdr:rowOff>139680</xdr:rowOff>
    </xdr:from>
    <xdr:to>
      <xdr:col>7</xdr:col>
      <xdr:colOff>876240</xdr:colOff>
      <xdr:row>132</xdr:row>
      <xdr:rowOff>53280</xdr:rowOff>
    </xdr:to>
    <xdr:graphicFrame>
      <xdr:nvGraphicFramePr>
        <xdr:cNvPr id="7" name="Chart 8"/>
        <xdr:cNvGraphicFramePr/>
      </xdr:nvGraphicFramePr>
      <xdr:xfrm>
        <a:off x="141605" y="18792825"/>
        <a:ext cx="5271770" cy="5400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447840</xdr:colOff>
      <xdr:row>102</xdr:row>
      <xdr:rowOff>149760</xdr:rowOff>
    </xdr:from>
    <xdr:to>
      <xdr:col>19</xdr:col>
      <xdr:colOff>465120</xdr:colOff>
      <xdr:row>122</xdr:row>
      <xdr:rowOff>92160</xdr:rowOff>
    </xdr:to>
    <xdr:graphicFrame>
      <xdr:nvGraphicFramePr>
        <xdr:cNvPr id="8" name="Chart 2"/>
        <xdr:cNvGraphicFramePr/>
      </xdr:nvGraphicFramePr>
      <xdr:xfrm>
        <a:off x="11290935" y="18802985"/>
        <a:ext cx="349948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J44"/>
  <sheetViews>
    <sheetView tabSelected="1" topLeftCell="A20" workbookViewId="0">
      <selection activeCell="G30" sqref="G30"/>
    </sheetView>
  </sheetViews>
  <sheetFormatPr defaultColWidth="8.89814814814815" defaultRowHeight="14.4"/>
  <cols>
    <col min="1" max="1" width="7.87962962962963" style="3" customWidth="1"/>
    <col min="2" max="2" width="11.9907407407407" style="3" customWidth="1"/>
    <col min="3" max="6" width="8.33333333333333" style="3" customWidth="1"/>
    <col min="7" max="7" width="9.22222222222222" style="3" customWidth="1"/>
    <col min="8" max="8" width="20.8888888888889" style="3" customWidth="1"/>
    <col min="9" max="9" width="11.2222222222222" style="3" customWidth="1"/>
    <col min="10" max="10" width="9.33333333333333" style="3" customWidth="1"/>
    <col min="11" max="11" width="9.55555555555556" style="3" customWidth="1"/>
    <col min="12" max="12" width="9.44444444444444" style="3"/>
    <col min="13" max="1024" width="8.88888888888889" style="3"/>
  </cols>
  <sheetData>
    <row r="1" s="13" customFormat="1" ht="27.6" spans="1:1024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/>
      <c r="I1" s="16" t="s">
        <v>7</v>
      </c>
      <c r="J1" s="16" t="s">
        <v>8</v>
      </c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  <c r="IW1" s="17"/>
      <c r="IX1" s="17"/>
      <c r="IY1" s="17"/>
      <c r="IZ1" s="17"/>
      <c r="JA1" s="17"/>
      <c r="JB1" s="17"/>
      <c r="JC1" s="17"/>
      <c r="JD1" s="17"/>
      <c r="JE1" s="17"/>
      <c r="JF1" s="17"/>
      <c r="JG1" s="17"/>
      <c r="JH1" s="17"/>
      <c r="JI1" s="17"/>
      <c r="JJ1" s="17"/>
      <c r="JK1" s="17"/>
      <c r="JL1" s="17"/>
      <c r="JM1" s="17"/>
      <c r="JN1" s="17"/>
      <c r="JO1" s="17"/>
      <c r="JP1" s="17"/>
      <c r="JQ1" s="17"/>
      <c r="JR1" s="17"/>
      <c r="JS1" s="17"/>
      <c r="JT1" s="17"/>
      <c r="JU1" s="17"/>
      <c r="JV1" s="17"/>
      <c r="JW1" s="17"/>
      <c r="JX1" s="17"/>
      <c r="JY1" s="17"/>
      <c r="JZ1" s="17"/>
      <c r="KA1" s="17"/>
      <c r="KB1" s="17"/>
      <c r="KC1" s="17"/>
      <c r="KD1" s="17"/>
      <c r="KE1" s="17"/>
      <c r="KF1" s="17"/>
      <c r="KG1" s="17"/>
      <c r="KH1" s="17"/>
      <c r="KI1" s="17"/>
      <c r="KJ1" s="17"/>
      <c r="KK1" s="17"/>
      <c r="KL1" s="17"/>
      <c r="KM1" s="17"/>
      <c r="KN1" s="17"/>
      <c r="KO1" s="17"/>
      <c r="KP1" s="17"/>
      <c r="KQ1" s="17"/>
      <c r="KR1" s="17"/>
      <c r="KS1" s="17"/>
      <c r="KT1" s="17"/>
      <c r="KU1" s="17"/>
      <c r="KV1" s="17"/>
      <c r="KW1" s="17"/>
      <c r="KX1" s="17"/>
      <c r="KY1" s="17"/>
      <c r="KZ1" s="17"/>
      <c r="LA1" s="17"/>
      <c r="LB1" s="17"/>
      <c r="LC1" s="17"/>
      <c r="LD1" s="17"/>
      <c r="LE1" s="17"/>
      <c r="LF1" s="17"/>
      <c r="LG1" s="17"/>
      <c r="LH1" s="17"/>
      <c r="LI1" s="17"/>
      <c r="LJ1" s="17"/>
      <c r="LK1" s="17"/>
      <c r="LL1" s="17"/>
      <c r="LM1" s="17"/>
      <c r="LN1" s="17"/>
      <c r="LO1" s="17"/>
      <c r="LP1" s="17"/>
      <c r="LQ1" s="17"/>
      <c r="LR1" s="17"/>
      <c r="LS1" s="17"/>
      <c r="LT1" s="17"/>
      <c r="LU1" s="17"/>
      <c r="LV1" s="17"/>
      <c r="LW1" s="17"/>
      <c r="LX1" s="17"/>
      <c r="LY1" s="17"/>
      <c r="LZ1" s="17"/>
      <c r="MA1" s="17"/>
      <c r="MB1" s="17"/>
      <c r="MC1" s="17"/>
      <c r="MD1" s="17"/>
      <c r="ME1" s="17"/>
      <c r="MF1" s="17"/>
      <c r="MG1" s="17"/>
      <c r="MH1" s="17"/>
      <c r="MI1" s="17"/>
      <c r="MJ1" s="17"/>
      <c r="MK1" s="17"/>
      <c r="ML1" s="17"/>
      <c r="MM1" s="17"/>
      <c r="MN1" s="17"/>
      <c r="MO1" s="17"/>
      <c r="MP1" s="17"/>
      <c r="MQ1" s="17"/>
      <c r="MR1" s="17"/>
      <c r="MS1" s="17"/>
      <c r="MT1" s="17"/>
      <c r="MU1" s="17"/>
      <c r="MV1" s="17"/>
      <c r="MW1" s="17"/>
      <c r="MX1" s="17"/>
      <c r="MY1" s="17"/>
      <c r="MZ1" s="17"/>
      <c r="NA1" s="17"/>
      <c r="NB1" s="17"/>
      <c r="NC1" s="17"/>
      <c r="ND1" s="17"/>
      <c r="NE1" s="17"/>
      <c r="NF1" s="17"/>
      <c r="NG1" s="17"/>
      <c r="NH1" s="17"/>
      <c r="NI1" s="17"/>
      <c r="NJ1" s="17"/>
      <c r="NK1" s="17"/>
      <c r="NL1" s="17"/>
      <c r="NM1" s="17"/>
      <c r="NN1" s="17"/>
      <c r="NO1" s="17"/>
      <c r="NP1" s="17"/>
      <c r="NQ1" s="17"/>
      <c r="NR1" s="17"/>
      <c r="NS1" s="17"/>
      <c r="NT1" s="17"/>
      <c r="NU1" s="17"/>
      <c r="NV1" s="17"/>
      <c r="NW1" s="17"/>
      <c r="NX1" s="17"/>
      <c r="NY1" s="17"/>
      <c r="NZ1" s="17"/>
      <c r="OA1" s="17"/>
      <c r="OB1" s="17"/>
      <c r="OC1" s="17"/>
      <c r="OD1" s="17"/>
      <c r="OE1" s="17"/>
      <c r="OF1" s="17"/>
      <c r="OG1" s="17"/>
      <c r="OH1" s="17"/>
      <c r="OI1" s="17"/>
      <c r="OJ1" s="17"/>
      <c r="OK1" s="17"/>
      <c r="OL1" s="17"/>
      <c r="OM1" s="17"/>
      <c r="ON1" s="17"/>
      <c r="OO1" s="17"/>
      <c r="OP1" s="17"/>
      <c r="OQ1" s="17"/>
      <c r="OR1" s="17"/>
      <c r="OS1" s="17"/>
      <c r="OT1" s="17"/>
      <c r="OU1" s="17"/>
      <c r="OV1" s="17"/>
      <c r="OW1" s="17"/>
      <c r="OX1" s="17"/>
      <c r="OY1" s="17"/>
      <c r="OZ1" s="17"/>
      <c r="PA1" s="17"/>
      <c r="PB1" s="17"/>
      <c r="PC1" s="17"/>
      <c r="PD1" s="17"/>
      <c r="PE1" s="17"/>
      <c r="PF1" s="17"/>
      <c r="PG1" s="17"/>
      <c r="PH1" s="17"/>
      <c r="PI1" s="17"/>
      <c r="PJ1" s="17"/>
      <c r="PK1" s="17"/>
      <c r="PL1" s="17"/>
      <c r="PM1" s="17"/>
      <c r="PN1" s="17"/>
      <c r="PO1" s="17"/>
      <c r="PP1" s="17"/>
      <c r="PQ1" s="17"/>
      <c r="PR1" s="17"/>
      <c r="PS1" s="17"/>
      <c r="PT1" s="17"/>
      <c r="PU1" s="17"/>
      <c r="PV1" s="17"/>
      <c r="PW1" s="17"/>
      <c r="PX1" s="17"/>
      <c r="PY1" s="17"/>
      <c r="PZ1" s="17"/>
      <c r="QA1" s="17"/>
      <c r="QB1" s="17"/>
      <c r="QC1" s="17"/>
      <c r="QD1" s="17"/>
      <c r="QE1" s="17"/>
      <c r="QF1" s="17"/>
      <c r="QG1" s="17"/>
      <c r="QH1" s="17"/>
      <c r="QI1" s="17"/>
      <c r="QJ1" s="17"/>
      <c r="QK1" s="17"/>
      <c r="QL1" s="17"/>
      <c r="QM1" s="17"/>
      <c r="QN1" s="17"/>
      <c r="QO1" s="17"/>
      <c r="QP1" s="17"/>
      <c r="QQ1" s="17"/>
      <c r="QR1" s="17"/>
      <c r="QS1" s="17"/>
      <c r="QT1" s="17"/>
      <c r="QU1" s="17"/>
      <c r="QV1" s="17"/>
      <c r="QW1" s="17"/>
      <c r="QX1" s="17"/>
      <c r="QY1" s="17"/>
      <c r="QZ1" s="17"/>
      <c r="RA1" s="17"/>
      <c r="RB1" s="17"/>
      <c r="RC1" s="17"/>
      <c r="RD1" s="17"/>
      <c r="RE1" s="17"/>
      <c r="RF1" s="17"/>
      <c r="RG1" s="17"/>
      <c r="RH1" s="17"/>
      <c r="RI1" s="17"/>
      <c r="RJ1" s="17"/>
      <c r="RK1" s="17"/>
      <c r="RL1" s="17"/>
      <c r="RM1" s="17"/>
      <c r="RN1" s="17"/>
      <c r="RO1" s="17"/>
      <c r="RP1" s="17"/>
      <c r="RQ1" s="17"/>
      <c r="RR1" s="17"/>
      <c r="RS1" s="17"/>
      <c r="RT1" s="17"/>
      <c r="RU1" s="17"/>
      <c r="RV1" s="17"/>
      <c r="RW1" s="17"/>
      <c r="RX1" s="17"/>
      <c r="RY1" s="17"/>
      <c r="RZ1" s="17"/>
      <c r="SA1" s="17"/>
      <c r="SB1" s="17"/>
      <c r="SC1" s="17"/>
      <c r="SD1" s="17"/>
      <c r="SE1" s="17"/>
      <c r="SF1" s="17"/>
      <c r="SG1" s="17"/>
      <c r="SH1" s="17"/>
      <c r="SI1" s="17"/>
      <c r="SJ1" s="17"/>
      <c r="SK1" s="17"/>
      <c r="SL1" s="17"/>
      <c r="SM1" s="17"/>
      <c r="SN1" s="17"/>
      <c r="SO1" s="17"/>
      <c r="SP1" s="17"/>
      <c r="SQ1" s="17"/>
      <c r="SR1" s="17"/>
      <c r="SS1" s="17"/>
      <c r="ST1" s="17"/>
      <c r="SU1" s="17"/>
      <c r="SV1" s="17"/>
      <c r="SW1" s="17"/>
      <c r="SX1" s="17"/>
      <c r="SY1" s="17"/>
      <c r="SZ1" s="17"/>
      <c r="TA1" s="17"/>
      <c r="TB1" s="17"/>
      <c r="TC1" s="17"/>
      <c r="TD1" s="17"/>
      <c r="TE1" s="17"/>
      <c r="TF1" s="17"/>
      <c r="TG1" s="17"/>
      <c r="TH1" s="17"/>
      <c r="TI1" s="17"/>
      <c r="TJ1" s="17"/>
      <c r="TK1" s="17"/>
      <c r="TL1" s="17"/>
      <c r="TM1" s="17"/>
      <c r="TN1" s="17"/>
      <c r="TO1" s="17"/>
      <c r="TP1" s="17"/>
      <c r="TQ1" s="17"/>
      <c r="TR1" s="17"/>
      <c r="TS1" s="17"/>
      <c r="TT1" s="17"/>
      <c r="TU1" s="17"/>
      <c r="TV1" s="17"/>
      <c r="TW1" s="17"/>
      <c r="TX1" s="17"/>
      <c r="TY1" s="17"/>
      <c r="TZ1" s="17"/>
      <c r="UA1" s="17"/>
      <c r="UB1" s="17"/>
      <c r="UC1" s="17"/>
      <c r="UD1" s="17"/>
      <c r="UE1" s="17"/>
      <c r="UF1" s="17"/>
      <c r="UG1" s="17"/>
      <c r="UH1" s="17"/>
      <c r="UI1" s="17"/>
      <c r="UJ1" s="17"/>
      <c r="UK1" s="17"/>
      <c r="UL1" s="17"/>
      <c r="UM1" s="17"/>
      <c r="UN1" s="17"/>
      <c r="UO1" s="17"/>
      <c r="UP1" s="17"/>
      <c r="UQ1" s="17"/>
      <c r="UR1" s="17"/>
      <c r="US1" s="17"/>
      <c r="UT1" s="17"/>
      <c r="UU1" s="17"/>
      <c r="UV1" s="17"/>
      <c r="UW1" s="17"/>
      <c r="UX1" s="17"/>
      <c r="UY1" s="17"/>
      <c r="UZ1" s="17"/>
      <c r="VA1" s="17"/>
      <c r="VB1" s="17"/>
      <c r="VC1" s="17"/>
      <c r="VD1" s="17"/>
      <c r="VE1" s="17"/>
      <c r="VF1" s="17"/>
      <c r="VG1" s="17"/>
      <c r="VH1" s="17"/>
      <c r="VI1" s="17"/>
      <c r="VJ1" s="17"/>
      <c r="VK1" s="17"/>
      <c r="VL1" s="17"/>
      <c r="VM1" s="17"/>
      <c r="VN1" s="17"/>
      <c r="VO1" s="17"/>
      <c r="VP1" s="17"/>
      <c r="VQ1" s="17"/>
      <c r="VR1" s="17"/>
      <c r="VS1" s="17"/>
      <c r="VT1" s="17"/>
      <c r="VU1" s="17"/>
      <c r="VV1" s="17"/>
      <c r="VW1" s="17"/>
      <c r="VX1" s="17"/>
      <c r="VY1" s="17"/>
      <c r="VZ1" s="17"/>
      <c r="WA1" s="17"/>
      <c r="WB1" s="17"/>
      <c r="WC1" s="17"/>
      <c r="WD1" s="17"/>
      <c r="WE1" s="17"/>
      <c r="WF1" s="17"/>
      <c r="WG1" s="17"/>
      <c r="WH1" s="17"/>
      <c r="WI1" s="17"/>
      <c r="WJ1" s="17"/>
      <c r="WK1" s="17"/>
      <c r="WL1" s="17"/>
      <c r="WM1" s="17"/>
      <c r="WN1" s="17"/>
      <c r="WO1" s="17"/>
      <c r="WP1" s="17"/>
      <c r="WQ1" s="17"/>
      <c r="WR1" s="17"/>
      <c r="WS1" s="17"/>
      <c r="WT1" s="17"/>
      <c r="WU1" s="17"/>
      <c r="WV1" s="17"/>
      <c r="WW1" s="17"/>
      <c r="WX1" s="17"/>
      <c r="WY1" s="17"/>
      <c r="WZ1" s="17"/>
      <c r="XA1" s="17"/>
      <c r="XB1" s="17"/>
      <c r="XC1" s="17"/>
      <c r="XD1" s="17"/>
      <c r="XE1" s="17"/>
      <c r="XF1" s="17"/>
      <c r="XG1" s="17"/>
      <c r="XH1" s="17"/>
      <c r="XI1" s="17"/>
      <c r="XJ1" s="17"/>
      <c r="XK1" s="17"/>
      <c r="XL1" s="17"/>
      <c r="XM1" s="17"/>
      <c r="XN1" s="17"/>
      <c r="XO1" s="17"/>
      <c r="XP1" s="17"/>
      <c r="XQ1" s="17"/>
      <c r="XR1" s="17"/>
      <c r="XS1" s="17"/>
      <c r="XT1" s="17"/>
      <c r="XU1" s="17"/>
      <c r="XV1" s="17"/>
      <c r="XW1" s="17"/>
      <c r="XX1" s="17"/>
      <c r="XY1" s="17"/>
      <c r="XZ1" s="17"/>
      <c r="YA1" s="17"/>
      <c r="YB1" s="17"/>
      <c r="YC1" s="17"/>
      <c r="YD1" s="17"/>
      <c r="YE1" s="17"/>
      <c r="YF1" s="17"/>
      <c r="YG1" s="17"/>
      <c r="YH1" s="17"/>
      <c r="YI1" s="17"/>
      <c r="YJ1" s="17"/>
      <c r="YK1" s="17"/>
      <c r="YL1" s="17"/>
      <c r="YM1" s="17"/>
      <c r="YN1" s="17"/>
      <c r="YO1" s="17"/>
      <c r="YP1" s="17"/>
      <c r="YQ1" s="17"/>
      <c r="YR1" s="17"/>
      <c r="YS1" s="17"/>
      <c r="YT1" s="17"/>
      <c r="YU1" s="17"/>
      <c r="YV1" s="17"/>
      <c r="YW1" s="17"/>
      <c r="YX1" s="17"/>
      <c r="YY1" s="17"/>
      <c r="YZ1" s="17"/>
      <c r="ZA1" s="17"/>
      <c r="ZB1" s="17"/>
      <c r="ZC1" s="17"/>
      <c r="ZD1" s="17"/>
      <c r="ZE1" s="17"/>
      <c r="ZF1" s="17"/>
      <c r="ZG1" s="17"/>
      <c r="ZH1" s="17"/>
      <c r="ZI1" s="17"/>
      <c r="ZJ1" s="17"/>
      <c r="ZK1" s="17"/>
      <c r="ZL1" s="17"/>
      <c r="ZM1" s="17"/>
      <c r="ZN1" s="17"/>
      <c r="ZO1" s="17"/>
      <c r="ZP1" s="17"/>
      <c r="ZQ1" s="17"/>
      <c r="ZR1" s="17"/>
      <c r="ZS1" s="17"/>
      <c r="ZT1" s="17"/>
      <c r="ZU1" s="17"/>
      <c r="ZV1" s="17"/>
      <c r="ZW1" s="17"/>
      <c r="ZX1" s="17"/>
      <c r="ZY1" s="17"/>
      <c r="ZZ1" s="17"/>
      <c r="AAA1" s="17"/>
      <c r="AAB1" s="17"/>
      <c r="AAC1" s="17"/>
      <c r="AAD1" s="17"/>
      <c r="AAE1" s="17"/>
      <c r="AAF1" s="17"/>
      <c r="AAG1" s="17"/>
      <c r="AAH1" s="17"/>
      <c r="AAI1" s="17"/>
      <c r="AAJ1" s="17"/>
      <c r="AAK1" s="17"/>
      <c r="AAL1" s="17"/>
      <c r="AAM1" s="17"/>
      <c r="AAN1" s="17"/>
      <c r="AAO1" s="17"/>
      <c r="AAP1" s="17"/>
      <c r="AAQ1" s="17"/>
      <c r="AAR1" s="17"/>
      <c r="AAS1" s="17"/>
      <c r="AAT1" s="17"/>
      <c r="AAU1" s="17"/>
      <c r="AAV1" s="17"/>
      <c r="AAW1" s="17"/>
      <c r="AAX1" s="17"/>
      <c r="AAY1" s="17"/>
      <c r="AAZ1" s="17"/>
      <c r="ABA1" s="17"/>
      <c r="ABB1" s="17"/>
      <c r="ABC1" s="17"/>
      <c r="ABD1" s="17"/>
      <c r="ABE1" s="17"/>
      <c r="ABF1" s="17"/>
      <c r="ABG1" s="17"/>
      <c r="ABH1" s="17"/>
      <c r="ABI1" s="17"/>
      <c r="ABJ1" s="17"/>
      <c r="ABK1" s="17"/>
      <c r="ABL1" s="17"/>
      <c r="ABM1" s="17"/>
      <c r="ABN1" s="17"/>
      <c r="ABO1" s="17"/>
      <c r="ABP1" s="17"/>
      <c r="ABQ1" s="17"/>
      <c r="ABR1" s="17"/>
      <c r="ABS1" s="17"/>
      <c r="ABT1" s="17"/>
      <c r="ABU1" s="17"/>
      <c r="ABV1" s="17"/>
      <c r="ABW1" s="17"/>
      <c r="ABX1" s="17"/>
      <c r="ABY1" s="17"/>
      <c r="ABZ1" s="17"/>
      <c r="ACA1" s="17"/>
      <c r="ACB1" s="17"/>
      <c r="ACC1" s="17"/>
      <c r="ACD1" s="17"/>
      <c r="ACE1" s="17"/>
      <c r="ACF1" s="17"/>
      <c r="ACG1" s="17"/>
      <c r="ACH1" s="17"/>
      <c r="ACI1" s="17"/>
      <c r="ACJ1" s="17"/>
      <c r="ACK1" s="17"/>
      <c r="ACL1" s="17"/>
      <c r="ACM1" s="17"/>
      <c r="ACN1" s="17"/>
      <c r="ACO1" s="17"/>
      <c r="ACP1" s="17"/>
      <c r="ACQ1" s="17"/>
      <c r="ACR1" s="17"/>
      <c r="ACS1" s="17"/>
      <c r="ACT1" s="17"/>
      <c r="ACU1" s="17"/>
      <c r="ACV1" s="17"/>
      <c r="ACW1" s="17"/>
      <c r="ACX1" s="17"/>
      <c r="ACY1" s="17"/>
      <c r="ACZ1" s="17"/>
      <c r="ADA1" s="17"/>
      <c r="ADB1" s="17"/>
      <c r="ADC1" s="17"/>
      <c r="ADD1" s="17"/>
      <c r="ADE1" s="17"/>
      <c r="ADF1" s="17"/>
      <c r="ADG1" s="17"/>
      <c r="ADH1" s="17"/>
      <c r="ADI1" s="17"/>
      <c r="ADJ1" s="17"/>
      <c r="ADK1" s="17"/>
      <c r="ADL1" s="17"/>
      <c r="ADM1" s="17"/>
      <c r="ADN1" s="17"/>
      <c r="ADO1" s="17"/>
      <c r="ADP1" s="17"/>
      <c r="ADQ1" s="17"/>
      <c r="ADR1" s="17"/>
      <c r="ADS1" s="17"/>
      <c r="ADT1" s="17"/>
      <c r="ADU1" s="17"/>
      <c r="ADV1" s="17"/>
      <c r="ADW1" s="17"/>
      <c r="ADX1" s="17"/>
      <c r="ADY1" s="17"/>
      <c r="ADZ1" s="17"/>
      <c r="AEA1" s="17"/>
      <c r="AEB1" s="17"/>
      <c r="AEC1" s="17"/>
      <c r="AED1" s="17"/>
      <c r="AEE1" s="17"/>
      <c r="AEF1" s="17"/>
      <c r="AEG1" s="17"/>
      <c r="AEH1" s="17"/>
      <c r="AEI1" s="17"/>
      <c r="AEJ1" s="17"/>
      <c r="AEK1" s="17"/>
      <c r="AEL1" s="17"/>
      <c r="AEM1" s="17"/>
      <c r="AEN1" s="17"/>
      <c r="AEO1" s="17"/>
      <c r="AEP1" s="17"/>
      <c r="AEQ1" s="17"/>
      <c r="AER1" s="17"/>
      <c r="AES1" s="17"/>
      <c r="AET1" s="17"/>
      <c r="AEU1" s="17"/>
      <c r="AEV1" s="17"/>
      <c r="AEW1" s="17"/>
      <c r="AEX1" s="17"/>
      <c r="AEY1" s="17"/>
      <c r="AEZ1" s="17"/>
      <c r="AFA1" s="17"/>
      <c r="AFB1" s="17"/>
      <c r="AFC1" s="17"/>
      <c r="AFD1" s="17"/>
      <c r="AFE1" s="17"/>
      <c r="AFF1" s="17"/>
      <c r="AFG1" s="17"/>
      <c r="AFH1" s="17"/>
      <c r="AFI1" s="17"/>
      <c r="AFJ1" s="17"/>
      <c r="AFK1" s="17"/>
      <c r="AFL1" s="17"/>
      <c r="AFM1" s="17"/>
      <c r="AFN1" s="17"/>
      <c r="AFO1" s="17"/>
      <c r="AFP1" s="17"/>
      <c r="AFQ1" s="17"/>
      <c r="AFR1" s="17"/>
      <c r="AFS1" s="17"/>
      <c r="AFT1" s="17"/>
      <c r="AFU1" s="17"/>
      <c r="AFV1" s="17"/>
      <c r="AFW1" s="17"/>
      <c r="AFX1" s="17"/>
      <c r="AFY1" s="17"/>
      <c r="AFZ1" s="17"/>
      <c r="AGA1" s="17"/>
      <c r="AGB1" s="17"/>
      <c r="AGC1" s="17"/>
      <c r="AGD1" s="17"/>
      <c r="AGE1" s="17"/>
      <c r="AGF1" s="17"/>
      <c r="AGG1" s="17"/>
      <c r="AGH1" s="17"/>
      <c r="AGI1" s="17"/>
      <c r="AGJ1" s="17"/>
      <c r="AGK1" s="17"/>
      <c r="AGL1" s="17"/>
      <c r="AGM1" s="17"/>
      <c r="AGN1" s="17"/>
      <c r="AGO1" s="17"/>
      <c r="AGP1" s="17"/>
      <c r="AGQ1" s="17"/>
      <c r="AGR1" s="17"/>
      <c r="AGS1" s="17"/>
      <c r="AGT1" s="17"/>
      <c r="AGU1" s="17"/>
      <c r="AGV1" s="17"/>
      <c r="AGW1" s="17"/>
      <c r="AGX1" s="17"/>
      <c r="AGY1" s="17"/>
      <c r="AGZ1" s="17"/>
      <c r="AHA1" s="17"/>
      <c r="AHB1" s="17"/>
      <c r="AHC1" s="17"/>
      <c r="AHD1" s="17"/>
      <c r="AHE1" s="17"/>
      <c r="AHF1" s="17"/>
      <c r="AHG1" s="17"/>
      <c r="AHH1" s="17"/>
      <c r="AHI1" s="17"/>
      <c r="AHJ1" s="17"/>
      <c r="AHK1" s="17"/>
      <c r="AHL1" s="17"/>
      <c r="AHM1" s="17"/>
      <c r="AHN1" s="17"/>
      <c r="AHO1" s="17"/>
      <c r="AHP1" s="17"/>
      <c r="AHQ1" s="17"/>
      <c r="AHR1" s="17"/>
      <c r="AHS1" s="17"/>
      <c r="AHT1" s="17"/>
      <c r="AHU1" s="17"/>
      <c r="AHV1" s="17"/>
      <c r="AHW1" s="17"/>
      <c r="AHX1" s="17"/>
      <c r="AHY1" s="17"/>
      <c r="AHZ1" s="17"/>
      <c r="AIA1" s="17"/>
      <c r="AIB1" s="17"/>
      <c r="AIC1" s="17"/>
      <c r="AID1" s="17"/>
      <c r="AIE1" s="17"/>
      <c r="AIF1" s="17"/>
      <c r="AIG1" s="17"/>
      <c r="AIH1" s="17"/>
      <c r="AII1" s="17"/>
      <c r="AIJ1" s="17"/>
      <c r="AIK1" s="17"/>
      <c r="AIL1" s="17"/>
      <c r="AIM1" s="17"/>
      <c r="AIN1" s="17"/>
      <c r="AIO1" s="17"/>
      <c r="AIP1" s="17"/>
      <c r="AIQ1" s="17"/>
      <c r="AIR1" s="17"/>
      <c r="AIS1" s="17"/>
      <c r="AIT1" s="17"/>
      <c r="AIU1" s="17"/>
      <c r="AIV1" s="17"/>
      <c r="AIW1" s="17"/>
      <c r="AIX1" s="17"/>
      <c r="AIY1" s="17"/>
      <c r="AIZ1" s="17"/>
      <c r="AJA1" s="17"/>
      <c r="AJB1" s="17"/>
      <c r="AJC1" s="17"/>
      <c r="AJD1" s="17"/>
      <c r="AJE1" s="17"/>
      <c r="AJF1" s="17"/>
      <c r="AJG1" s="17"/>
      <c r="AJH1" s="17"/>
      <c r="AJI1" s="17"/>
      <c r="AJJ1" s="17"/>
      <c r="AJK1" s="17"/>
      <c r="AJL1" s="17"/>
      <c r="AJM1" s="17"/>
      <c r="AJN1" s="17"/>
      <c r="AJO1" s="17"/>
      <c r="AJP1" s="17"/>
      <c r="AJQ1" s="17"/>
      <c r="AJR1" s="17"/>
      <c r="AJS1" s="17"/>
      <c r="AJT1" s="17"/>
      <c r="AJU1" s="17"/>
      <c r="AJV1" s="17"/>
      <c r="AJW1" s="17"/>
      <c r="AJX1" s="17"/>
      <c r="AJY1" s="17"/>
      <c r="AJZ1" s="17"/>
      <c r="AKA1" s="17"/>
      <c r="AKB1" s="17"/>
      <c r="AKC1" s="17"/>
      <c r="AKD1" s="17"/>
      <c r="AKE1" s="17"/>
      <c r="AKF1" s="17"/>
      <c r="AKG1" s="17"/>
      <c r="AKH1" s="17"/>
      <c r="AKI1" s="17"/>
      <c r="AKJ1" s="17"/>
      <c r="AKK1" s="17"/>
      <c r="AKL1" s="17"/>
      <c r="AKM1" s="17"/>
      <c r="AKN1" s="17"/>
      <c r="AKO1" s="17"/>
      <c r="AKP1" s="17"/>
      <c r="AKQ1" s="17"/>
      <c r="AKR1" s="17"/>
      <c r="AKS1" s="17"/>
      <c r="AKT1" s="17"/>
      <c r="AKU1" s="17"/>
      <c r="AKV1" s="17"/>
      <c r="AKW1" s="17"/>
      <c r="AKX1" s="17"/>
      <c r="AKY1" s="17"/>
      <c r="AKZ1" s="17"/>
      <c r="ALA1" s="17"/>
      <c r="ALB1" s="17"/>
      <c r="ALC1" s="17"/>
      <c r="ALD1" s="17"/>
      <c r="ALE1" s="17"/>
      <c r="ALF1" s="17"/>
      <c r="ALG1" s="17"/>
      <c r="ALH1" s="17"/>
      <c r="ALI1" s="17"/>
      <c r="ALJ1" s="17"/>
      <c r="ALK1" s="17"/>
      <c r="ALL1" s="17"/>
      <c r="ALM1" s="17"/>
      <c r="ALN1" s="17"/>
      <c r="ALO1" s="17"/>
      <c r="ALP1" s="17"/>
      <c r="ALQ1" s="17"/>
      <c r="ALR1" s="17"/>
      <c r="ALS1" s="17"/>
      <c r="ALT1" s="17"/>
      <c r="ALU1" s="17"/>
      <c r="ALV1" s="17"/>
      <c r="ALW1" s="17"/>
      <c r="ALX1" s="17"/>
      <c r="ALY1" s="17"/>
      <c r="ALZ1" s="17"/>
      <c r="AMA1" s="17"/>
      <c r="AMB1" s="17"/>
      <c r="AMC1" s="17"/>
      <c r="AMD1" s="17"/>
      <c r="AME1" s="17"/>
      <c r="AMF1" s="17"/>
      <c r="AMG1" s="17"/>
      <c r="AMH1" s="17"/>
      <c r="AMI1" s="17"/>
      <c r="AMJ1" s="17"/>
    </row>
    <row r="2" spans="1:12">
      <c r="A2" s="18">
        <v>1</v>
      </c>
      <c r="B2" s="19" t="s">
        <v>9</v>
      </c>
      <c r="C2" s="20">
        <v>1.5</v>
      </c>
      <c r="D2" s="20">
        <v>1.5</v>
      </c>
      <c r="E2" s="20">
        <v>1.5</v>
      </c>
      <c r="F2" s="21">
        <v>1.5</v>
      </c>
      <c r="G2" s="20">
        <v>1.5</v>
      </c>
      <c r="I2" s="8" t="s">
        <v>9</v>
      </c>
      <c r="J2" s="8">
        <v>1.5</v>
      </c>
      <c r="K2" s="3" t="s">
        <v>9</v>
      </c>
      <c r="L2" s="3">
        <v>1.5</v>
      </c>
    </row>
    <row r="3" spans="1:12">
      <c r="A3" s="18">
        <v>2</v>
      </c>
      <c r="B3" s="19" t="s">
        <v>10</v>
      </c>
      <c r="C3" s="20">
        <v>2.5</v>
      </c>
      <c r="D3" s="20">
        <v>2.5</v>
      </c>
      <c r="E3" s="20">
        <v>2.55</v>
      </c>
      <c r="F3" s="21">
        <v>1.4</v>
      </c>
      <c r="G3" s="20">
        <v>2.55</v>
      </c>
      <c r="I3" s="8" t="s">
        <v>10</v>
      </c>
      <c r="J3" s="8">
        <v>2</v>
      </c>
      <c r="K3" s="3" t="s">
        <v>10</v>
      </c>
      <c r="L3" s="3">
        <v>2</v>
      </c>
    </row>
    <row r="4" spans="1:12">
      <c r="A4" s="18">
        <v>3</v>
      </c>
      <c r="B4" s="19" t="s">
        <v>11</v>
      </c>
      <c r="C4" s="20">
        <v>1.58</v>
      </c>
      <c r="D4" s="20">
        <v>1.45</v>
      </c>
      <c r="E4" s="20">
        <v>1.64</v>
      </c>
      <c r="F4" s="21">
        <v>1.54</v>
      </c>
      <c r="G4" s="20">
        <v>1.83</v>
      </c>
      <c r="I4" s="8" t="s">
        <v>11</v>
      </c>
      <c r="J4" s="8">
        <v>1.89</v>
      </c>
      <c r="K4" s="3" t="s">
        <v>11</v>
      </c>
      <c r="L4" s="3">
        <v>1.89</v>
      </c>
    </row>
    <row r="5" spans="1:12">
      <c r="A5" s="18">
        <v>4</v>
      </c>
      <c r="B5" s="19" t="s">
        <v>12</v>
      </c>
      <c r="C5" s="20">
        <v>3.17</v>
      </c>
      <c r="D5" s="20">
        <v>3.26</v>
      </c>
      <c r="E5" s="20">
        <v>3.45</v>
      </c>
      <c r="F5" s="21">
        <v>2.92</v>
      </c>
      <c r="G5" s="20">
        <v>3.4</v>
      </c>
      <c r="I5" s="8" t="s">
        <v>13</v>
      </c>
      <c r="J5" s="8">
        <v>2.15</v>
      </c>
      <c r="K5" s="3" t="s">
        <v>13</v>
      </c>
      <c r="L5" s="3">
        <v>2.15</v>
      </c>
    </row>
    <row r="6" spans="1:12">
      <c r="A6" s="18">
        <v>5</v>
      </c>
      <c r="B6" s="19" t="s">
        <v>13</v>
      </c>
      <c r="C6" s="20">
        <v>2.66</v>
      </c>
      <c r="D6" s="20">
        <v>3.02</v>
      </c>
      <c r="E6" s="20">
        <v>2.97</v>
      </c>
      <c r="F6" s="21">
        <v>2.49</v>
      </c>
      <c r="G6" s="20">
        <v>2.03</v>
      </c>
      <c r="I6" s="8" t="s">
        <v>14</v>
      </c>
      <c r="J6" s="8">
        <v>3.5</v>
      </c>
      <c r="K6" s="3" t="s">
        <v>14</v>
      </c>
      <c r="L6" s="3">
        <v>3.5</v>
      </c>
    </row>
    <row r="7" spans="1:12">
      <c r="A7" s="18">
        <v>6</v>
      </c>
      <c r="B7" s="19" t="s">
        <v>14</v>
      </c>
      <c r="C7" s="20">
        <v>3.8</v>
      </c>
      <c r="D7" s="20">
        <v>3.9</v>
      </c>
      <c r="E7" s="20">
        <v>4.1</v>
      </c>
      <c r="F7" s="21">
        <v>3.5</v>
      </c>
      <c r="G7" s="20">
        <v>3.8</v>
      </c>
      <c r="I7" s="8" t="s">
        <v>15</v>
      </c>
      <c r="J7" s="8">
        <v>3.7</v>
      </c>
      <c r="K7" s="3" t="s">
        <v>15</v>
      </c>
      <c r="L7" s="3">
        <v>3.7</v>
      </c>
    </row>
    <row r="8" spans="1:12">
      <c r="A8" s="18">
        <v>7</v>
      </c>
      <c r="B8" s="19" t="s">
        <v>15</v>
      </c>
      <c r="C8" s="20">
        <v>4.25</v>
      </c>
      <c r="D8" s="20">
        <v>4.2</v>
      </c>
      <c r="E8" s="20">
        <v>4.1</v>
      </c>
      <c r="F8" s="21">
        <v>3.5</v>
      </c>
      <c r="G8" s="20">
        <v>3.71</v>
      </c>
      <c r="I8" s="8" t="s">
        <v>16</v>
      </c>
      <c r="J8" s="8">
        <v>5.55</v>
      </c>
      <c r="K8" s="3" t="s">
        <v>17</v>
      </c>
      <c r="L8" s="3">
        <v>1.39</v>
      </c>
    </row>
    <row r="9" spans="1:12">
      <c r="A9" s="18">
        <v>8</v>
      </c>
      <c r="B9" s="19" t="s">
        <v>18</v>
      </c>
      <c r="C9" s="20">
        <v>3.1</v>
      </c>
      <c r="D9" s="20">
        <v>3.6</v>
      </c>
      <c r="E9" s="20">
        <v>3.5</v>
      </c>
      <c r="F9" s="21">
        <v>3.3</v>
      </c>
      <c r="G9" s="20">
        <v>3.6</v>
      </c>
      <c r="I9" s="8" t="s">
        <v>19</v>
      </c>
      <c r="J9" s="8">
        <v>1.59</v>
      </c>
      <c r="K9" s="3" t="s">
        <v>20</v>
      </c>
      <c r="L9" s="3">
        <v>5.48</v>
      </c>
    </row>
    <row r="10" spans="1:12">
      <c r="A10" s="18">
        <v>9</v>
      </c>
      <c r="B10" s="19" t="s">
        <v>21</v>
      </c>
      <c r="C10" s="20">
        <v>2.2</v>
      </c>
      <c r="D10" s="20">
        <v>2.2</v>
      </c>
      <c r="E10" s="20">
        <v>2</v>
      </c>
      <c r="F10" s="21">
        <v>1.8</v>
      </c>
      <c r="G10" s="20">
        <v>1.5</v>
      </c>
      <c r="I10" s="8" t="s">
        <v>20</v>
      </c>
      <c r="J10" s="8">
        <v>5.48</v>
      </c>
      <c r="K10" s="3" t="s">
        <v>22</v>
      </c>
      <c r="L10" s="3">
        <v>1.56</v>
      </c>
    </row>
    <row r="11" spans="1:12">
      <c r="A11" s="18">
        <v>10</v>
      </c>
      <c r="B11" s="19" t="s">
        <v>23</v>
      </c>
      <c r="C11" s="20">
        <v>1.93</v>
      </c>
      <c r="D11" s="20">
        <v>1.78</v>
      </c>
      <c r="E11" s="20">
        <v>2.09</v>
      </c>
      <c r="F11" s="21">
        <v>1.9</v>
      </c>
      <c r="G11" s="20">
        <v>2.79</v>
      </c>
      <c r="I11" s="8" t="s">
        <v>22</v>
      </c>
      <c r="J11" s="8">
        <v>1.56</v>
      </c>
      <c r="K11" s="3" t="s">
        <v>16</v>
      </c>
      <c r="L11" s="3">
        <v>5.55</v>
      </c>
    </row>
    <row r="12" spans="1:12">
      <c r="A12" s="18">
        <v>11</v>
      </c>
      <c r="B12" s="19" t="s">
        <v>24</v>
      </c>
      <c r="C12" s="20">
        <v>1.8</v>
      </c>
      <c r="D12" s="20">
        <v>1.7</v>
      </c>
      <c r="E12" s="20">
        <v>1.8</v>
      </c>
      <c r="F12" s="21">
        <v>1.5</v>
      </c>
      <c r="G12" s="20">
        <v>1.8</v>
      </c>
      <c r="I12" s="8" t="s">
        <v>25</v>
      </c>
      <c r="J12" s="8">
        <v>3.51</v>
      </c>
      <c r="K12" s="3" t="s">
        <v>19</v>
      </c>
      <c r="L12" s="3">
        <v>1.59</v>
      </c>
    </row>
    <row r="13" spans="1:12">
      <c r="A13" s="18">
        <v>12</v>
      </c>
      <c r="B13" s="19" t="s">
        <v>26</v>
      </c>
      <c r="C13" s="20">
        <v>1.9</v>
      </c>
      <c r="D13" s="20">
        <v>2.4</v>
      </c>
      <c r="E13" s="20">
        <v>1.99</v>
      </c>
      <c r="F13" s="21">
        <v>1.75</v>
      </c>
      <c r="G13" s="20">
        <v>5.63</v>
      </c>
      <c r="I13" s="8" t="s">
        <v>27</v>
      </c>
      <c r="J13" s="8">
        <v>1.02</v>
      </c>
      <c r="K13" s="3" t="s">
        <v>28</v>
      </c>
      <c r="L13" s="3">
        <v>99.27</v>
      </c>
    </row>
    <row r="14" spans="1:12">
      <c r="A14" s="18">
        <v>13</v>
      </c>
      <c r="B14" s="19" t="s">
        <v>29</v>
      </c>
      <c r="C14" s="20">
        <v>2.93</v>
      </c>
      <c r="D14" s="20">
        <v>2.84</v>
      </c>
      <c r="E14" s="20">
        <v>2.74</v>
      </c>
      <c r="F14" s="21">
        <v>2.77</v>
      </c>
      <c r="G14" s="20">
        <v>4.08</v>
      </c>
      <c r="H14" s="3" t="s">
        <v>30</v>
      </c>
      <c r="I14" s="8" t="s">
        <v>31</v>
      </c>
      <c r="J14" s="8">
        <v>32</v>
      </c>
      <c r="K14" s="3" t="s">
        <v>32</v>
      </c>
      <c r="L14" s="3">
        <v>103.104</v>
      </c>
    </row>
    <row r="15" spans="1:12">
      <c r="A15" s="18">
        <v>14</v>
      </c>
      <c r="B15" s="19" t="s">
        <v>33</v>
      </c>
      <c r="C15" s="20">
        <v>3.3</v>
      </c>
      <c r="D15" s="20">
        <v>3.8</v>
      </c>
      <c r="E15" s="20">
        <v>3.8</v>
      </c>
      <c r="F15" s="21">
        <v>3</v>
      </c>
      <c r="G15" s="20">
        <v>3.75</v>
      </c>
      <c r="I15" s="8" t="s">
        <v>34</v>
      </c>
      <c r="J15" s="8">
        <v>12.31</v>
      </c>
      <c r="K15" s="3" t="s">
        <v>25</v>
      </c>
      <c r="L15" s="3">
        <v>3.51</v>
      </c>
    </row>
    <row r="16" spans="1:12">
      <c r="A16" s="18">
        <v>15</v>
      </c>
      <c r="B16" s="19" t="s">
        <v>35</v>
      </c>
      <c r="C16" s="20">
        <v>3.3</v>
      </c>
      <c r="D16" s="20">
        <v>3.8</v>
      </c>
      <c r="E16" s="20">
        <v>3.43</v>
      </c>
      <c r="F16" s="21">
        <v>3.4</v>
      </c>
      <c r="G16" s="20">
        <v>3.5</v>
      </c>
      <c r="I16" s="8" t="s">
        <v>17</v>
      </c>
      <c r="J16" s="8">
        <v>1.39</v>
      </c>
      <c r="K16" s="3" t="s">
        <v>36</v>
      </c>
      <c r="L16" s="3">
        <v>6.52</v>
      </c>
    </row>
    <row r="17" spans="1:12">
      <c r="A17" s="18">
        <v>16</v>
      </c>
      <c r="B17" s="19" t="s">
        <v>37</v>
      </c>
      <c r="C17" s="20">
        <v>3.1</v>
      </c>
      <c r="D17" s="20">
        <v>3.6</v>
      </c>
      <c r="E17" s="20">
        <v>3.6</v>
      </c>
      <c r="F17" s="21">
        <v>3.1</v>
      </c>
      <c r="G17" s="20">
        <v>3.6</v>
      </c>
      <c r="I17" s="3" t="s">
        <v>38</v>
      </c>
      <c r="J17" s="3">
        <v>99.27</v>
      </c>
      <c r="K17" s="3" t="s">
        <v>39</v>
      </c>
      <c r="L17" s="3">
        <v>2.08</v>
      </c>
    </row>
    <row r="18" spans="1:10">
      <c r="A18" s="18">
        <v>17</v>
      </c>
      <c r="B18" s="19" t="s">
        <v>40</v>
      </c>
      <c r="C18" s="20">
        <v>1.5</v>
      </c>
      <c r="D18" s="20">
        <v>1.7</v>
      </c>
      <c r="E18" s="20">
        <v>1.6</v>
      </c>
      <c r="F18" s="21">
        <v>1.4</v>
      </c>
      <c r="G18" s="20">
        <v>1.7</v>
      </c>
      <c r="I18" s="3" t="s">
        <v>41</v>
      </c>
      <c r="J18" s="3">
        <v>103.104</v>
      </c>
    </row>
    <row r="19" spans="1:10">
      <c r="A19" s="18">
        <v>18</v>
      </c>
      <c r="B19" s="19" t="s">
        <v>42</v>
      </c>
      <c r="C19" s="20">
        <v>2.7</v>
      </c>
      <c r="D19" s="20">
        <v>3.1</v>
      </c>
      <c r="E19" s="20">
        <v>3.1</v>
      </c>
      <c r="F19" s="21">
        <v>3.5</v>
      </c>
      <c r="G19" s="20">
        <v>3.1</v>
      </c>
      <c r="I19" s="3" t="s">
        <v>43</v>
      </c>
      <c r="J19" s="3">
        <v>2.08</v>
      </c>
    </row>
    <row r="20" spans="1:7">
      <c r="A20" s="18">
        <v>19</v>
      </c>
      <c r="B20" s="19" t="s">
        <v>44</v>
      </c>
      <c r="C20" s="20">
        <v>4.5</v>
      </c>
      <c r="D20" s="20">
        <v>5.5</v>
      </c>
      <c r="E20" s="20">
        <v>5</v>
      </c>
      <c r="F20" s="21">
        <v>4.2</v>
      </c>
      <c r="G20" s="20">
        <v>5.5</v>
      </c>
    </row>
    <row r="21" spans="1:7">
      <c r="A21" s="18">
        <v>20</v>
      </c>
      <c r="B21" s="19" t="s">
        <v>45</v>
      </c>
      <c r="C21" s="20">
        <v>2.7</v>
      </c>
      <c r="D21" s="20">
        <v>3.2</v>
      </c>
      <c r="E21" s="20">
        <v>3.1</v>
      </c>
      <c r="F21" s="21">
        <v>2.4</v>
      </c>
      <c r="G21" s="20">
        <v>4</v>
      </c>
    </row>
    <row r="22" spans="1:7">
      <c r="A22" s="18">
        <v>21</v>
      </c>
      <c r="B22" s="19" t="s">
        <v>46</v>
      </c>
      <c r="C22" s="20">
        <v>2.6</v>
      </c>
      <c r="D22" s="20">
        <v>2.6</v>
      </c>
      <c r="E22" s="20">
        <v>2.38</v>
      </c>
      <c r="F22" s="21">
        <v>2.38</v>
      </c>
      <c r="G22" s="20">
        <v>2.92</v>
      </c>
    </row>
    <row r="23" spans="1:7">
      <c r="A23" s="18">
        <v>22</v>
      </c>
      <c r="B23" s="19" t="s">
        <v>47</v>
      </c>
      <c r="C23" s="20">
        <v>1.2</v>
      </c>
      <c r="D23" s="20">
        <v>1.35</v>
      </c>
      <c r="E23" s="20">
        <v>0.9</v>
      </c>
      <c r="F23" s="21">
        <v>0.95</v>
      </c>
      <c r="G23" s="20">
        <v>1.1</v>
      </c>
    </row>
    <row r="24" spans="1:7">
      <c r="A24" s="18">
        <v>23</v>
      </c>
      <c r="B24" s="19" t="s">
        <v>48</v>
      </c>
      <c r="C24" s="20">
        <v>2.9</v>
      </c>
      <c r="D24" s="20">
        <v>3.25</v>
      </c>
      <c r="E24" s="20">
        <v>3.24</v>
      </c>
      <c r="F24" s="21">
        <v>2.76</v>
      </c>
      <c r="G24" s="20">
        <v>1.9</v>
      </c>
    </row>
    <row r="25" spans="1:7">
      <c r="A25" s="18">
        <v>24</v>
      </c>
      <c r="B25" s="19" t="s">
        <v>49</v>
      </c>
      <c r="C25" s="20">
        <v>1.88</v>
      </c>
      <c r="D25" s="20">
        <v>2.06</v>
      </c>
      <c r="E25" s="20">
        <v>1.75</v>
      </c>
      <c r="F25" s="21">
        <v>1.71</v>
      </c>
      <c r="G25" s="20">
        <v>2.74</v>
      </c>
    </row>
    <row r="26" spans="1:7">
      <c r="A26" s="18">
        <v>25</v>
      </c>
      <c r="B26" s="19" t="s">
        <v>50</v>
      </c>
      <c r="C26" s="20">
        <v>1.81</v>
      </c>
      <c r="D26" s="20">
        <v>1.76</v>
      </c>
      <c r="E26" s="20">
        <v>1.74</v>
      </c>
      <c r="F26" s="21">
        <v>1.52</v>
      </c>
      <c r="G26" s="20">
        <v>1.94</v>
      </c>
    </row>
    <row r="27" spans="1:7">
      <c r="A27" s="18">
        <v>26</v>
      </c>
      <c r="B27" s="19" t="s">
        <v>51</v>
      </c>
      <c r="C27" s="20">
        <v>2.55</v>
      </c>
      <c r="D27" s="20">
        <v>2.58</v>
      </c>
      <c r="E27" s="20">
        <v>2.8</v>
      </c>
      <c r="F27" s="21">
        <v>2.02</v>
      </c>
      <c r="G27" s="20">
        <v>2.51</v>
      </c>
    </row>
    <row r="28" spans="1:7">
      <c r="A28" s="18">
        <v>27</v>
      </c>
      <c r="B28" s="19" t="s">
        <v>52</v>
      </c>
      <c r="C28" s="20">
        <v>2.16</v>
      </c>
      <c r="D28" s="20">
        <v>1.97</v>
      </c>
      <c r="E28" s="20">
        <v>1.98</v>
      </c>
      <c r="F28" s="21">
        <v>1.87</v>
      </c>
      <c r="G28" s="20">
        <v>1.98</v>
      </c>
    </row>
    <row r="29" spans="1:7">
      <c r="A29" s="18">
        <v>28</v>
      </c>
      <c r="B29" s="19" t="s">
        <v>20</v>
      </c>
      <c r="C29" s="20">
        <v>5.04</v>
      </c>
      <c r="D29" s="20">
        <v>4.76</v>
      </c>
      <c r="E29" s="20">
        <v>4.93</v>
      </c>
      <c r="F29" s="21">
        <v>5</v>
      </c>
      <c r="G29" s="20">
        <v>7.39</v>
      </c>
    </row>
    <row r="30" spans="1:7">
      <c r="A30" s="18">
        <v>29</v>
      </c>
      <c r="B30" s="19" t="s">
        <v>22</v>
      </c>
      <c r="C30" s="20">
        <v>2.86</v>
      </c>
      <c r="D30" s="20">
        <v>2.69</v>
      </c>
      <c r="E30" s="20">
        <v>2.57</v>
      </c>
      <c r="F30" s="21">
        <v>2.75</v>
      </c>
      <c r="G30" s="20">
        <v>4.27</v>
      </c>
    </row>
    <row r="31" spans="1:7">
      <c r="A31" s="18">
        <v>30</v>
      </c>
      <c r="B31" s="19" t="s">
        <v>53</v>
      </c>
      <c r="C31" s="20">
        <v>2.5</v>
      </c>
      <c r="D31" s="20">
        <v>2.23</v>
      </c>
      <c r="E31" s="20">
        <v>2.49</v>
      </c>
      <c r="F31" s="21">
        <v>2.68</v>
      </c>
      <c r="G31" s="20">
        <v>3.85</v>
      </c>
    </row>
    <row r="32" spans="1:7">
      <c r="A32" s="18">
        <v>31</v>
      </c>
      <c r="B32" s="19" t="s">
        <v>54</v>
      </c>
      <c r="C32" s="20">
        <v>60.6</v>
      </c>
      <c r="D32" s="20">
        <v>53.97</v>
      </c>
      <c r="E32" s="20">
        <v>50.58</v>
      </c>
      <c r="F32" s="21">
        <v>58.162</v>
      </c>
      <c r="G32" s="20">
        <v>21.52</v>
      </c>
    </row>
    <row r="33" spans="1:7">
      <c r="A33" s="18">
        <v>32</v>
      </c>
      <c r="B33" s="19" t="s">
        <v>55</v>
      </c>
      <c r="C33" s="20">
        <v>64.8</v>
      </c>
      <c r="D33" s="20">
        <v>53.58</v>
      </c>
      <c r="E33" s="20">
        <v>61.91</v>
      </c>
      <c r="F33" s="21">
        <v>55.88</v>
      </c>
      <c r="G33" s="20">
        <v>38.27</v>
      </c>
    </row>
    <row r="34" spans="1:7">
      <c r="A34" s="18">
        <v>33</v>
      </c>
      <c r="B34" s="19" t="s">
        <v>56</v>
      </c>
      <c r="C34" s="20">
        <v>55.21</v>
      </c>
      <c r="D34" s="20">
        <v>49.22</v>
      </c>
      <c r="E34" s="20">
        <v>54.82</v>
      </c>
      <c r="F34" s="21">
        <v>51.76</v>
      </c>
      <c r="G34" s="20">
        <v>42.28</v>
      </c>
    </row>
    <row r="35" spans="1:7">
      <c r="A35" s="18">
        <v>34</v>
      </c>
      <c r="B35" s="19" t="s">
        <v>31</v>
      </c>
      <c r="C35" s="20">
        <v>34.8</v>
      </c>
      <c r="D35" s="20">
        <v>43.59</v>
      </c>
      <c r="E35" s="20">
        <v>37.43</v>
      </c>
      <c r="F35" s="21">
        <v>38.63</v>
      </c>
      <c r="G35" s="20">
        <v>10.59</v>
      </c>
    </row>
    <row r="36" spans="1:7">
      <c r="A36" s="18">
        <v>35</v>
      </c>
      <c r="B36" s="19" t="s">
        <v>57</v>
      </c>
      <c r="C36" s="20">
        <v>35.28</v>
      </c>
      <c r="D36" s="20">
        <v>32</v>
      </c>
      <c r="E36" s="20">
        <v>28.89</v>
      </c>
      <c r="F36" s="21">
        <v>37.54</v>
      </c>
      <c r="G36" s="20">
        <v>15.42</v>
      </c>
    </row>
    <row r="37" spans="1:7">
      <c r="A37" s="20"/>
      <c r="B37" s="19" t="s">
        <v>16</v>
      </c>
      <c r="C37" s="20">
        <v>7.63</v>
      </c>
      <c r="D37" s="20">
        <v>7.66</v>
      </c>
      <c r="E37" s="20">
        <v>7.57</v>
      </c>
      <c r="F37" s="22">
        <v>6.7</v>
      </c>
      <c r="G37" s="20">
        <v>7.46</v>
      </c>
    </row>
    <row r="38" spans="1:7">
      <c r="A38" s="20"/>
      <c r="B38" s="19" t="s">
        <v>19</v>
      </c>
      <c r="C38" s="20">
        <v>4.46</v>
      </c>
      <c r="D38" s="20">
        <v>4.39</v>
      </c>
      <c r="E38" s="20">
        <v>4.13</v>
      </c>
      <c r="F38" s="21">
        <v>3.78</v>
      </c>
      <c r="G38" s="20">
        <v>4.28</v>
      </c>
    </row>
    <row r="39" spans="1:7">
      <c r="A39" s="20"/>
      <c r="B39" s="19" t="s">
        <v>28</v>
      </c>
      <c r="C39" s="20">
        <v>138.64</v>
      </c>
      <c r="D39" s="20">
        <v>141.56</v>
      </c>
      <c r="E39" s="20">
        <v>139.39</v>
      </c>
      <c r="F39" s="21">
        <v>131.73</v>
      </c>
      <c r="G39" s="20">
        <f>180-81.94</f>
        <v>98.06</v>
      </c>
    </row>
    <row r="40" spans="1:7">
      <c r="A40" s="20"/>
      <c r="B40" s="19" t="s">
        <v>32</v>
      </c>
      <c r="C40" s="20">
        <v>140.13</v>
      </c>
      <c r="D40" s="20">
        <v>142.28</v>
      </c>
      <c r="E40" s="20">
        <v>141.51</v>
      </c>
      <c r="F40" s="21">
        <v>133.38</v>
      </c>
      <c r="G40" s="20">
        <v>94.16</v>
      </c>
    </row>
    <row r="41" spans="1:8">
      <c r="A41" s="20"/>
      <c r="B41" s="19" t="s">
        <v>58</v>
      </c>
      <c r="C41" s="20">
        <v>121.43</v>
      </c>
      <c r="D41" s="20">
        <v>128.26</v>
      </c>
      <c r="E41" s="20">
        <v>114.74</v>
      </c>
      <c r="F41" s="21">
        <v>104.65</v>
      </c>
      <c r="G41" s="20">
        <v>110.5</v>
      </c>
      <c r="H41" s="3" t="s">
        <v>59</v>
      </c>
    </row>
    <row r="42" spans="7:8">
      <c r="G42" s="3">
        <v>1.65</v>
      </c>
      <c r="H42" s="3" t="s">
        <v>60</v>
      </c>
    </row>
    <row r="43" spans="1:7">
      <c r="A43" s="20"/>
      <c r="B43" s="19" t="s">
        <v>61</v>
      </c>
      <c r="C43" s="20">
        <v>2.76</v>
      </c>
      <c r="D43" s="20">
        <v>3.24</v>
      </c>
      <c r="E43" s="20">
        <v>2.67</v>
      </c>
      <c r="F43" s="20">
        <v>2.39</v>
      </c>
      <c r="G43" s="20">
        <v>6.52</v>
      </c>
    </row>
    <row r="44" spans="7:8">
      <c r="G44" s="3">
        <v>2.08</v>
      </c>
      <c r="H44" s="3" t="s">
        <v>62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K18" sqref="K18"/>
    </sheetView>
  </sheetViews>
  <sheetFormatPr defaultColWidth="8.89814814814815" defaultRowHeight="14.4" outlineLevelCol="6"/>
  <cols>
    <col min="1" max="3" width="7.66666666666667" style="3" customWidth="1"/>
    <col min="4" max="4" width="6.55555555555556" style="3" customWidth="1"/>
    <col min="5" max="5" width="8.66666666666667" style="3" customWidth="1"/>
    <col min="6" max="6" width="8.33333333333333" style="3" customWidth="1"/>
    <col min="7" max="7" width="11.6666666666667" style="3" customWidth="1"/>
    <col min="8" max="1024" width="8.88888888888889" style="3"/>
  </cols>
  <sheetData>
    <row r="1" s="6" customFormat="1" ht="13.8" spans="1:7">
      <c r="A1" s="7" t="s">
        <v>63</v>
      </c>
      <c r="B1" s="7" t="s">
        <v>64</v>
      </c>
      <c r="C1" s="7" t="s">
        <v>65</v>
      </c>
      <c r="D1" s="7" t="s">
        <v>66</v>
      </c>
      <c r="E1" s="7" t="s">
        <v>67</v>
      </c>
      <c r="F1" s="7" t="s">
        <v>68</v>
      </c>
      <c r="G1" s="7" t="s">
        <v>69</v>
      </c>
    </row>
    <row r="2" spans="1:7">
      <c r="A2" s="8">
        <v>0</v>
      </c>
      <c r="B2" s="8">
        <v>0</v>
      </c>
      <c r="C2" s="8">
        <v>0</v>
      </c>
      <c r="D2" s="8">
        <v>-49</v>
      </c>
      <c r="E2" s="8">
        <v>-140.71</v>
      </c>
      <c r="F2" s="8">
        <v>-49.26</v>
      </c>
      <c r="G2" s="8">
        <f t="shared" ref="G2:G15" si="0">ABS(F2-E2)</f>
        <v>91.45</v>
      </c>
    </row>
    <row r="3" spans="1:7">
      <c r="A3" s="8">
        <v>0</v>
      </c>
      <c r="B3" s="8">
        <v>0.1</v>
      </c>
      <c r="C3" s="8">
        <v>0</v>
      </c>
      <c r="D3" s="8">
        <v>-50</v>
      </c>
      <c r="E3" s="8">
        <v>-139.62</v>
      </c>
      <c r="F3" s="8">
        <v>-48.22</v>
      </c>
      <c r="G3" s="8">
        <f t="shared" si="0"/>
        <v>91.4</v>
      </c>
    </row>
    <row r="4" spans="1:7">
      <c r="A4" s="8">
        <v>0</v>
      </c>
      <c r="B4" s="8">
        <v>0.2</v>
      </c>
      <c r="C4" s="8">
        <v>0.1</v>
      </c>
      <c r="D4" s="8">
        <v>-55</v>
      </c>
      <c r="E4" s="8">
        <v>-140.82</v>
      </c>
      <c r="F4" s="8">
        <v>-45.24</v>
      </c>
      <c r="G4" s="8">
        <f t="shared" si="0"/>
        <v>95.58</v>
      </c>
    </row>
    <row r="5" spans="1:7">
      <c r="A5" s="8">
        <v>0</v>
      </c>
      <c r="B5" s="8">
        <v>0.3</v>
      </c>
      <c r="C5" s="8">
        <v>0.2</v>
      </c>
      <c r="D5" s="8">
        <v>-60</v>
      </c>
      <c r="E5" s="8">
        <v>-141.98</v>
      </c>
      <c r="F5" s="8">
        <v>-43.08</v>
      </c>
      <c r="G5" s="8">
        <f t="shared" si="0"/>
        <v>98.9</v>
      </c>
    </row>
    <row r="6" spans="1:7">
      <c r="A6" s="8">
        <v>0</v>
      </c>
      <c r="B6" s="8">
        <v>0.4</v>
      </c>
      <c r="C6" s="8">
        <v>0.3</v>
      </c>
      <c r="D6" s="8">
        <v>-65</v>
      </c>
      <c r="E6" s="8">
        <v>-143.09</v>
      </c>
      <c r="F6" s="8">
        <v>-41.64</v>
      </c>
      <c r="G6" s="8">
        <f t="shared" si="0"/>
        <v>101.45</v>
      </c>
    </row>
    <row r="7" spans="1:7">
      <c r="A7" s="8">
        <v>0</v>
      </c>
      <c r="B7" s="8">
        <v>0.5</v>
      </c>
      <c r="C7" s="8">
        <v>0.5</v>
      </c>
      <c r="D7" s="8">
        <v>-70</v>
      </c>
      <c r="E7" s="8">
        <v>-146.36</v>
      </c>
      <c r="F7" s="8">
        <v>-41.72</v>
      </c>
      <c r="G7" s="8">
        <f t="shared" si="0"/>
        <v>104.64</v>
      </c>
    </row>
    <row r="8" spans="1:7">
      <c r="A8" s="8">
        <v>0</v>
      </c>
      <c r="B8" s="8">
        <v>0.5</v>
      </c>
      <c r="C8" s="8">
        <v>0.5</v>
      </c>
      <c r="D8" s="8">
        <v>-75</v>
      </c>
      <c r="E8" s="8">
        <v>-146.35</v>
      </c>
      <c r="F8" s="12">
        <v>-38.6</v>
      </c>
      <c r="G8" s="8">
        <f t="shared" si="0"/>
        <v>107.75</v>
      </c>
    </row>
    <row r="9" spans="1:7">
      <c r="A9" s="8">
        <v>0</v>
      </c>
      <c r="B9" s="8">
        <v>0.6</v>
      </c>
      <c r="C9" s="8">
        <v>0.7</v>
      </c>
      <c r="D9" s="8">
        <v>-80</v>
      </c>
      <c r="E9" s="8">
        <v>-149.39</v>
      </c>
      <c r="F9" s="8">
        <v>-38.37</v>
      </c>
      <c r="G9" s="8">
        <f t="shared" si="0"/>
        <v>111.02</v>
      </c>
    </row>
    <row r="10" spans="1:7">
      <c r="A10" s="8">
        <v>0</v>
      </c>
      <c r="B10" s="8">
        <v>0.7</v>
      </c>
      <c r="C10" s="8">
        <v>0.7</v>
      </c>
      <c r="D10" s="8">
        <v>-85</v>
      </c>
      <c r="E10" s="8">
        <v>-148.32</v>
      </c>
      <c r="F10" s="8">
        <v>-36.77</v>
      </c>
      <c r="G10" s="8">
        <f t="shared" si="0"/>
        <v>111.55</v>
      </c>
    </row>
    <row r="11" spans="1:7">
      <c r="A11" s="8">
        <v>0</v>
      </c>
      <c r="B11" s="8">
        <v>0.7</v>
      </c>
      <c r="C11" s="8">
        <v>0.7</v>
      </c>
      <c r="D11" s="8">
        <v>-90</v>
      </c>
      <c r="E11" s="8">
        <v>-148.32</v>
      </c>
      <c r="F11" s="8">
        <v>-32.93</v>
      </c>
      <c r="G11" s="8">
        <f t="shared" si="0"/>
        <v>115.39</v>
      </c>
    </row>
    <row r="12" spans="1:7">
      <c r="A12" s="8">
        <v>0</v>
      </c>
      <c r="B12" s="8">
        <v>0.8</v>
      </c>
      <c r="C12" s="8">
        <v>0.9</v>
      </c>
      <c r="D12" s="8">
        <v>-95</v>
      </c>
      <c r="E12" s="8">
        <v>-151.15</v>
      </c>
      <c r="F12" s="8">
        <v>-33.92</v>
      </c>
      <c r="G12" s="8">
        <f t="shared" si="0"/>
        <v>117.23</v>
      </c>
    </row>
    <row r="13" spans="1:7">
      <c r="A13" s="8">
        <v>0</v>
      </c>
      <c r="B13" s="8">
        <v>0.8</v>
      </c>
      <c r="C13" s="8">
        <v>0.9</v>
      </c>
      <c r="D13" s="8">
        <v>-100</v>
      </c>
      <c r="E13" s="8">
        <v>-151.15</v>
      </c>
      <c r="F13" s="8">
        <v>-29.75</v>
      </c>
      <c r="G13" s="8">
        <f t="shared" si="0"/>
        <v>121.4</v>
      </c>
    </row>
    <row r="14" spans="1:7">
      <c r="A14" s="8">
        <v>0.1</v>
      </c>
      <c r="B14" s="8">
        <v>0.8</v>
      </c>
      <c r="C14" s="9">
        <v>1</v>
      </c>
      <c r="D14" s="8">
        <v>-105</v>
      </c>
      <c r="E14" s="8">
        <v>-159.46</v>
      </c>
      <c r="F14" s="8">
        <v>-38.72</v>
      </c>
      <c r="G14" s="8">
        <f t="shared" si="0"/>
        <v>120.74</v>
      </c>
    </row>
    <row r="15" spans="1:7">
      <c r="A15" s="8">
        <v>0.1</v>
      </c>
      <c r="B15" s="8">
        <v>0.9</v>
      </c>
      <c r="C15" s="9">
        <v>1</v>
      </c>
      <c r="D15" s="8">
        <v>-110</v>
      </c>
      <c r="E15" s="8">
        <v>-158.54</v>
      </c>
      <c r="F15" s="8">
        <v>-38.57</v>
      </c>
      <c r="G15" s="8">
        <f t="shared" si="0"/>
        <v>119.97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workbookViewId="0">
      <selection activeCell="I7" sqref="I7"/>
    </sheetView>
  </sheetViews>
  <sheetFormatPr defaultColWidth="8.89814814814815" defaultRowHeight="14.4" outlineLevelCol="7"/>
  <cols>
    <col min="1" max="3" width="7.66666666666667" customWidth="1"/>
    <col min="4" max="4" width="6.55555555555556" customWidth="1"/>
    <col min="5" max="5" width="9.44444444444444" customWidth="1"/>
    <col min="6" max="6" width="8.33333333333333" customWidth="1"/>
    <col min="7" max="7" width="11.6666666666667" customWidth="1"/>
  </cols>
  <sheetData>
    <row r="1" s="6" customFormat="1" ht="13.8" spans="1:8">
      <c r="A1" s="7" t="s">
        <v>63</v>
      </c>
      <c r="B1" s="7" t="s">
        <v>64</v>
      </c>
      <c r="C1" s="7" t="s">
        <v>65</v>
      </c>
      <c r="D1" s="7" t="s">
        <v>66</v>
      </c>
      <c r="E1" s="7" t="s">
        <v>67</v>
      </c>
      <c r="F1" s="7" t="s">
        <v>68</v>
      </c>
      <c r="G1" s="7" t="s">
        <v>69</v>
      </c>
      <c r="H1" s="11"/>
    </row>
    <row r="2" s="3" customFormat="1" ht="13.8" spans="1:7">
      <c r="A2" s="8">
        <v>0</v>
      </c>
      <c r="B2" s="8">
        <v>0</v>
      </c>
      <c r="C2" s="8">
        <v>0</v>
      </c>
      <c r="D2" s="8">
        <v>-21</v>
      </c>
      <c r="E2" s="8">
        <v>-127.85</v>
      </c>
      <c r="F2" s="8">
        <v>-80.17</v>
      </c>
      <c r="G2" s="8">
        <f t="shared" ref="G2:G18" si="0">F2-E2</f>
        <v>47.68</v>
      </c>
    </row>
    <row r="3" s="3" customFormat="1" ht="13.8" spans="1:7">
      <c r="A3" s="8">
        <v>0</v>
      </c>
      <c r="B3" s="8">
        <v>0.3</v>
      </c>
      <c r="C3" s="8">
        <v>0</v>
      </c>
      <c r="D3" s="8">
        <v>-30</v>
      </c>
      <c r="E3" s="8">
        <v>-126.05</v>
      </c>
      <c r="F3" s="8">
        <v>-65.2</v>
      </c>
      <c r="G3" s="8">
        <f t="shared" si="0"/>
        <v>60.85</v>
      </c>
    </row>
    <row r="4" s="3" customFormat="1" ht="13.8" spans="1:7">
      <c r="A4" s="8">
        <v>0</v>
      </c>
      <c r="B4" s="8">
        <v>0.6</v>
      </c>
      <c r="C4" s="8">
        <v>0</v>
      </c>
      <c r="D4" s="8">
        <v>-40</v>
      </c>
      <c r="E4" s="8">
        <v>-124.36</v>
      </c>
      <c r="F4" s="8">
        <v>-52.21</v>
      </c>
      <c r="G4" s="8">
        <f t="shared" si="0"/>
        <v>72.15</v>
      </c>
    </row>
    <row r="5" s="3" customFormat="1" ht="13.8" spans="1:7">
      <c r="A5" s="8">
        <v>0</v>
      </c>
      <c r="B5" s="8">
        <v>0.7</v>
      </c>
      <c r="C5" s="8">
        <v>0</v>
      </c>
      <c r="D5" s="8">
        <v>-45</v>
      </c>
      <c r="E5" s="8">
        <v>-123.87</v>
      </c>
      <c r="F5" s="8">
        <v>-45.65</v>
      </c>
      <c r="G5" s="8">
        <f t="shared" si="0"/>
        <v>78.22</v>
      </c>
    </row>
    <row r="6" s="3" customFormat="1" ht="13.8" spans="1:7">
      <c r="A6" s="8">
        <v>0</v>
      </c>
      <c r="B6" s="8">
        <v>0.8</v>
      </c>
      <c r="C6" s="8">
        <v>0.2</v>
      </c>
      <c r="D6" s="8">
        <v>-50</v>
      </c>
      <c r="E6" s="8">
        <v>-126.39</v>
      </c>
      <c r="F6" s="8">
        <v>-44.51</v>
      </c>
      <c r="G6" s="8">
        <f t="shared" si="0"/>
        <v>81.88</v>
      </c>
    </row>
    <row r="7" s="3" customFormat="1" ht="13.8" spans="1:7">
      <c r="A7" s="8">
        <v>0</v>
      </c>
      <c r="B7" s="8">
        <v>0.9</v>
      </c>
      <c r="C7" s="8">
        <v>0.3</v>
      </c>
      <c r="D7" s="8">
        <v>-55</v>
      </c>
      <c r="E7" s="8">
        <v>-127.41</v>
      </c>
      <c r="F7" s="8">
        <v>-41.69</v>
      </c>
      <c r="G7" s="8">
        <f t="shared" si="0"/>
        <v>85.72</v>
      </c>
    </row>
    <row r="8" s="3" customFormat="1" ht="13.8" spans="1:7">
      <c r="A8" s="8">
        <v>0</v>
      </c>
      <c r="B8" s="8">
        <v>1</v>
      </c>
      <c r="C8" s="8">
        <v>0.4</v>
      </c>
      <c r="D8" s="8">
        <v>-60</v>
      </c>
      <c r="E8" s="8">
        <v>-128.44</v>
      </c>
      <c r="F8" s="8">
        <v>-39.55</v>
      </c>
      <c r="G8" s="8">
        <f t="shared" si="0"/>
        <v>88.89</v>
      </c>
    </row>
    <row r="9" s="3" customFormat="1" ht="13.8" spans="1:7">
      <c r="A9" s="8">
        <v>0</v>
      </c>
      <c r="B9" s="8">
        <v>1.1</v>
      </c>
      <c r="C9" s="8">
        <v>0.5</v>
      </c>
      <c r="D9" s="8">
        <v>-65</v>
      </c>
      <c r="E9" s="8">
        <v>-129.47</v>
      </c>
      <c r="F9" s="8">
        <v>-37.92</v>
      </c>
      <c r="G9" s="8">
        <f t="shared" si="0"/>
        <v>91.55</v>
      </c>
    </row>
    <row r="10" s="3" customFormat="1" ht="13.8" spans="1:7">
      <c r="A10" s="8">
        <v>0</v>
      </c>
      <c r="B10" s="8">
        <v>1.2</v>
      </c>
      <c r="C10" s="8">
        <v>0.8</v>
      </c>
      <c r="D10" s="8">
        <v>-70</v>
      </c>
      <c r="E10" s="8">
        <v>-133.07</v>
      </c>
      <c r="F10" s="8">
        <v>-38.47</v>
      </c>
      <c r="G10" s="8">
        <f t="shared" si="0"/>
        <v>94.6</v>
      </c>
    </row>
    <row r="11" s="3" customFormat="1" ht="13.8" spans="1:7">
      <c r="A11" s="8">
        <v>0</v>
      </c>
      <c r="B11" s="8">
        <v>1.2</v>
      </c>
      <c r="C11" s="8">
        <v>0.8</v>
      </c>
      <c r="D11" s="8">
        <v>-75</v>
      </c>
      <c r="E11" s="8">
        <v>-133.07</v>
      </c>
      <c r="F11" s="12">
        <v>-34.5</v>
      </c>
      <c r="G11" s="8">
        <f t="shared" si="0"/>
        <v>98.57</v>
      </c>
    </row>
    <row r="12" s="3" customFormat="1" ht="13.8" spans="1:7">
      <c r="A12" s="8">
        <v>0</v>
      </c>
      <c r="B12" s="8">
        <v>1.3</v>
      </c>
      <c r="C12" s="8">
        <v>0.8</v>
      </c>
      <c r="D12" s="8">
        <v>-80</v>
      </c>
      <c r="E12" s="8">
        <v>-132.8</v>
      </c>
      <c r="F12" s="8">
        <v>-32.64</v>
      </c>
      <c r="G12" s="8">
        <f t="shared" si="0"/>
        <v>100.16</v>
      </c>
    </row>
    <row r="13" s="3" customFormat="1" ht="13.8" spans="1:7">
      <c r="A13" s="8">
        <v>0</v>
      </c>
      <c r="B13" s="8">
        <v>1.3</v>
      </c>
      <c r="C13" s="8">
        <v>0.8</v>
      </c>
      <c r="D13" s="8">
        <v>-85</v>
      </c>
      <c r="E13" s="8">
        <v>-132.8</v>
      </c>
      <c r="F13" s="8">
        <v>-27.26</v>
      </c>
      <c r="G13" s="8">
        <f t="shared" si="0"/>
        <v>105.54</v>
      </c>
    </row>
    <row r="14" s="3" customFormat="1" ht="13.8" spans="1:7">
      <c r="A14" s="8">
        <v>0.1</v>
      </c>
      <c r="B14" s="8">
        <v>1.3</v>
      </c>
      <c r="C14" s="8">
        <v>0.9</v>
      </c>
      <c r="D14" s="8">
        <v>-90</v>
      </c>
      <c r="E14" s="8">
        <v>-139.43</v>
      </c>
      <c r="F14" s="8">
        <v>-35.52</v>
      </c>
      <c r="G14" s="8">
        <f t="shared" si="0"/>
        <v>103.91</v>
      </c>
    </row>
    <row r="15" s="3" customFormat="1" ht="13.8" spans="1:7">
      <c r="A15" s="8">
        <v>0.1</v>
      </c>
      <c r="B15" s="8">
        <v>1.4</v>
      </c>
      <c r="C15" s="8">
        <v>0.9</v>
      </c>
      <c r="D15" s="8">
        <v>-95</v>
      </c>
      <c r="E15" s="8">
        <v>-139.21</v>
      </c>
      <c r="F15" s="8">
        <v>-35.36</v>
      </c>
      <c r="G15" s="8">
        <f t="shared" si="0"/>
        <v>103.85</v>
      </c>
    </row>
    <row r="16" s="3" customFormat="1" ht="13.8" spans="1:7">
      <c r="A16" s="8">
        <v>0.1</v>
      </c>
      <c r="B16" s="8">
        <v>1.4</v>
      </c>
      <c r="C16" s="9">
        <v>1</v>
      </c>
      <c r="D16" s="8">
        <v>-100</v>
      </c>
      <c r="E16" s="8">
        <v>-140.38</v>
      </c>
      <c r="F16" s="8">
        <v>-33.27</v>
      </c>
      <c r="G16" s="8">
        <f t="shared" si="0"/>
        <v>107.11</v>
      </c>
    </row>
    <row r="17" s="3" customFormat="1" ht="13.8" spans="1:7">
      <c r="A17" s="8">
        <v>0.1</v>
      </c>
      <c r="B17" s="8">
        <v>1.4</v>
      </c>
      <c r="C17" s="9">
        <v>1</v>
      </c>
      <c r="D17" s="8">
        <v>-105</v>
      </c>
      <c r="E17" s="8">
        <v>-140.38</v>
      </c>
      <c r="F17" s="8">
        <v>-30.32</v>
      </c>
      <c r="G17" s="8">
        <f t="shared" si="0"/>
        <v>110.06</v>
      </c>
    </row>
    <row r="18" s="3" customFormat="1" ht="13.8" spans="1:7">
      <c r="A18" s="8">
        <v>0.1</v>
      </c>
      <c r="B18" s="8">
        <v>1.4</v>
      </c>
      <c r="C18" s="8">
        <v>1.1</v>
      </c>
      <c r="D18" s="8">
        <v>-110</v>
      </c>
      <c r="E18" s="8">
        <v>-141.51</v>
      </c>
      <c r="F18" s="8">
        <v>-27.85</v>
      </c>
      <c r="G18" s="8">
        <f t="shared" si="0"/>
        <v>113.66</v>
      </c>
    </row>
    <row r="19" s="3" customFormat="1" ht="13.8"/>
    <row r="20" s="3" customFormat="1" ht="13.8"/>
    <row r="21" s="3" customFormat="1" ht="13.8"/>
    <row r="22" s="3" customFormat="1" ht="13.8"/>
    <row r="23" s="3" customFormat="1" ht="13.8"/>
    <row r="24" s="3" customFormat="1" ht="13.8"/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workbookViewId="0">
      <selection activeCell="G23" sqref="G23"/>
    </sheetView>
  </sheetViews>
  <sheetFormatPr defaultColWidth="8.89814814814815" defaultRowHeight="14.4"/>
  <cols>
    <col min="1" max="4" width="7.66666666666667" style="3" customWidth="1"/>
    <col min="5" max="5" width="6.55555555555556" style="3" customWidth="1"/>
    <col min="6" max="6" width="9.44444444444444" style="3" customWidth="1"/>
    <col min="7" max="7" width="8.33333333333333" style="3" customWidth="1"/>
    <col min="8" max="8" width="11.6666666666667" style="3" customWidth="1"/>
    <col min="9" max="9" width="12.1111111111111" style="3" customWidth="1"/>
    <col min="10" max="1024" width="8.88888888888889" style="3"/>
  </cols>
  <sheetData>
    <row r="1" s="6" customFormat="1" ht="13.8" spans="1:9">
      <c r="A1" s="7" t="s">
        <v>63</v>
      </c>
      <c r="B1" s="7" t="s">
        <v>64</v>
      </c>
      <c r="C1" s="7" t="s">
        <v>65</v>
      </c>
      <c r="D1" s="7" t="s">
        <v>70</v>
      </c>
      <c r="E1" s="7" t="s">
        <v>66</v>
      </c>
      <c r="F1" s="7" t="s">
        <v>67</v>
      </c>
      <c r="G1" s="7" t="s">
        <v>68</v>
      </c>
      <c r="H1" s="7" t="s">
        <v>69</v>
      </c>
      <c r="I1" s="11"/>
    </row>
    <row r="2" spans="1:8">
      <c r="A2" s="8">
        <v>0</v>
      </c>
      <c r="B2" s="8">
        <v>0</v>
      </c>
      <c r="C2" s="8">
        <v>0</v>
      </c>
      <c r="D2" s="8">
        <v>0</v>
      </c>
      <c r="E2" s="8">
        <v>-40</v>
      </c>
      <c r="F2" s="8">
        <v>-124.35</v>
      </c>
      <c r="G2" s="8">
        <v>-31.96</v>
      </c>
      <c r="H2" s="8">
        <f t="shared" ref="H2:H16" si="0">ABS(G2-F2)</f>
        <v>92.39</v>
      </c>
    </row>
    <row r="3" spans="1:8">
      <c r="A3" s="8">
        <v>0.2</v>
      </c>
      <c r="B3" s="8">
        <v>0.1</v>
      </c>
      <c r="C3" s="8">
        <v>0</v>
      </c>
      <c r="D3" s="8">
        <v>0</v>
      </c>
      <c r="E3" s="8">
        <v>-45</v>
      </c>
      <c r="F3" s="8">
        <v>-132.64</v>
      </c>
      <c r="G3" s="8">
        <v>-28.03</v>
      </c>
      <c r="H3" s="8">
        <f t="shared" si="0"/>
        <v>104.61</v>
      </c>
    </row>
    <row r="4" spans="1:8">
      <c r="A4" s="8">
        <v>0.4</v>
      </c>
      <c r="B4" s="8">
        <v>0.2</v>
      </c>
      <c r="C4" s="8">
        <v>0</v>
      </c>
      <c r="D4" s="8">
        <v>0</v>
      </c>
      <c r="E4" s="8">
        <v>-50</v>
      </c>
      <c r="F4" s="8">
        <v>-141.34</v>
      </c>
      <c r="G4" s="8">
        <v>-27.39</v>
      </c>
      <c r="H4" s="8">
        <f t="shared" si="0"/>
        <v>113.95</v>
      </c>
    </row>
    <row r="5" spans="1:8">
      <c r="A5" s="8">
        <v>0.6</v>
      </c>
      <c r="B5" s="8">
        <v>0.3</v>
      </c>
      <c r="C5" s="8">
        <v>0</v>
      </c>
      <c r="D5" s="8">
        <v>0</v>
      </c>
      <c r="E5" s="8">
        <v>-55</v>
      </c>
      <c r="F5" s="8">
        <v>-150.65</v>
      </c>
      <c r="G5" s="8">
        <v>-34.62</v>
      </c>
      <c r="H5" s="8">
        <f t="shared" si="0"/>
        <v>116.03</v>
      </c>
    </row>
    <row r="6" spans="1:8">
      <c r="A6" s="8">
        <v>0.7</v>
      </c>
      <c r="B6" s="8">
        <v>0.4</v>
      </c>
      <c r="C6" s="8">
        <v>0</v>
      </c>
      <c r="D6" s="8">
        <v>0</v>
      </c>
      <c r="E6" s="8">
        <v>-60</v>
      </c>
      <c r="F6" s="8">
        <v>-155.36</v>
      </c>
      <c r="G6" s="8">
        <v>-31.98</v>
      </c>
      <c r="H6" s="8">
        <f t="shared" si="0"/>
        <v>123.38</v>
      </c>
    </row>
    <row r="7" spans="1:8">
      <c r="A7" s="8">
        <v>0.7</v>
      </c>
      <c r="B7" s="8">
        <v>0.4</v>
      </c>
      <c r="C7" s="8">
        <v>0.2</v>
      </c>
      <c r="D7" s="8">
        <v>0</v>
      </c>
      <c r="E7" s="8">
        <v>-65</v>
      </c>
      <c r="F7" s="8">
        <v>-161.53</v>
      </c>
      <c r="G7" s="8">
        <v>-41.06</v>
      </c>
      <c r="H7" s="8">
        <f t="shared" si="0"/>
        <v>120.47</v>
      </c>
    </row>
    <row r="8" spans="1:8">
      <c r="A8" s="8">
        <v>0.8</v>
      </c>
      <c r="B8" s="8">
        <v>0.6</v>
      </c>
      <c r="C8" s="8">
        <v>0.3</v>
      </c>
      <c r="D8" s="8">
        <v>0</v>
      </c>
      <c r="E8" s="8">
        <v>-70</v>
      </c>
      <c r="F8" s="8">
        <v>-161.62</v>
      </c>
      <c r="G8" s="8">
        <v>-36.56</v>
      </c>
      <c r="H8" s="8">
        <f t="shared" si="0"/>
        <v>125.06</v>
      </c>
    </row>
    <row r="9" spans="1:8">
      <c r="A9" s="8">
        <v>0.8</v>
      </c>
      <c r="B9" s="8">
        <v>0.7</v>
      </c>
      <c r="C9" s="8">
        <v>0.4</v>
      </c>
      <c r="D9" s="8">
        <v>0.1</v>
      </c>
      <c r="E9" s="8">
        <v>-75</v>
      </c>
      <c r="F9" s="8">
        <v>-161.73</v>
      </c>
      <c r="G9" s="8">
        <v>-37.82</v>
      </c>
      <c r="H9" s="8">
        <f t="shared" si="0"/>
        <v>123.91</v>
      </c>
    </row>
    <row r="10" spans="1:8">
      <c r="A10" s="8">
        <v>0.8</v>
      </c>
      <c r="B10" s="8">
        <v>0.8</v>
      </c>
      <c r="C10" s="8">
        <v>0.6</v>
      </c>
      <c r="D10" s="8">
        <v>0.2</v>
      </c>
      <c r="E10" s="8">
        <v>-80</v>
      </c>
      <c r="F10" s="8">
        <v>-161.23</v>
      </c>
      <c r="G10" s="8">
        <v>-42.03</v>
      </c>
      <c r="H10" s="8">
        <f t="shared" si="0"/>
        <v>119.2</v>
      </c>
    </row>
    <row r="11" spans="1:8">
      <c r="A11" s="8">
        <v>0.8</v>
      </c>
      <c r="B11" s="8">
        <v>0.9</v>
      </c>
      <c r="C11" s="8">
        <v>0.7</v>
      </c>
      <c r="D11" s="8">
        <v>0.2</v>
      </c>
      <c r="E11" s="8">
        <v>-85</v>
      </c>
      <c r="F11" s="8">
        <v>-161.14</v>
      </c>
      <c r="G11" s="8">
        <v>-40.62</v>
      </c>
      <c r="H11" s="8">
        <f t="shared" si="0"/>
        <v>120.52</v>
      </c>
    </row>
    <row r="12" spans="1:8">
      <c r="A12" s="8">
        <v>0.8</v>
      </c>
      <c r="B12" s="9">
        <v>1</v>
      </c>
      <c r="C12" s="8">
        <v>0.8</v>
      </c>
      <c r="D12" s="8">
        <v>0.2</v>
      </c>
      <c r="E12" s="8">
        <v>-90</v>
      </c>
      <c r="F12" s="8">
        <v>-161.06</v>
      </c>
      <c r="G12" s="8">
        <v>-39.69</v>
      </c>
      <c r="H12" s="8">
        <f t="shared" si="0"/>
        <v>121.37</v>
      </c>
    </row>
    <row r="13" spans="1:8">
      <c r="A13" s="8">
        <v>0.8</v>
      </c>
      <c r="B13" s="9">
        <v>1</v>
      </c>
      <c r="C13" s="8">
        <v>0.8</v>
      </c>
      <c r="D13" s="8">
        <v>0.2</v>
      </c>
      <c r="E13" s="8">
        <v>-95</v>
      </c>
      <c r="F13" s="8">
        <v>-161.05</v>
      </c>
      <c r="G13" s="8">
        <v>-34.97</v>
      </c>
      <c r="H13" s="8">
        <f t="shared" si="0"/>
        <v>126.08</v>
      </c>
    </row>
    <row r="14" spans="1:8">
      <c r="A14" s="8">
        <v>0.8</v>
      </c>
      <c r="B14" s="8">
        <v>1.1</v>
      </c>
      <c r="C14" s="8">
        <v>0.9</v>
      </c>
      <c r="D14" s="8">
        <v>0.2</v>
      </c>
      <c r="E14" s="8">
        <v>-100</v>
      </c>
      <c r="F14" s="8">
        <v>-160.99</v>
      </c>
      <c r="G14" s="8">
        <v>-34.76</v>
      </c>
      <c r="H14" s="8">
        <f t="shared" si="0"/>
        <v>126.23</v>
      </c>
    </row>
    <row r="15" spans="1:8">
      <c r="A15" s="8">
        <v>0.9</v>
      </c>
      <c r="B15" s="8">
        <v>1.1</v>
      </c>
      <c r="C15" s="8">
        <v>0.9</v>
      </c>
      <c r="D15" s="8">
        <v>0.2</v>
      </c>
      <c r="E15" s="8">
        <v>-105</v>
      </c>
      <c r="F15" s="8">
        <v>-165.97</v>
      </c>
      <c r="G15" s="8">
        <v>-42.56</v>
      </c>
      <c r="H15" s="8">
        <f t="shared" si="0"/>
        <v>123.41</v>
      </c>
    </row>
    <row r="16" spans="1:8">
      <c r="A16" s="8">
        <v>0.9</v>
      </c>
      <c r="B16" s="8">
        <v>1.2</v>
      </c>
      <c r="C16" s="9">
        <v>1</v>
      </c>
      <c r="D16" s="8">
        <v>0.2</v>
      </c>
      <c r="E16" s="8">
        <v>-110</v>
      </c>
      <c r="F16" s="8">
        <v>-165.91</v>
      </c>
      <c r="G16" s="8">
        <v>-43.03</v>
      </c>
      <c r="H16" s="8">
        <f t="shared" si="0"/>
        <v>122.88</v>
      </c>
    </row>
    <row r="17" spans="8:8">
      <c r="H17" s="10"/>
    </row>
    <row r="18" spans="8:8">
      <c r="H18" s="10"/>
    </row>
    <row r="19" spans="8:8">
      <c r="H19" s="10"/>
    </row>
    <row r="20" spans="8:8">
      <c r="H20" s="10"/>
    </row>
    <row r="21" spans="8:8">
      <c r="H21" s="10"/>
    </row>
    <row r="22" spans="8:8">
      <c r="H22" s="10"/>
    </row>
    <row r="23" spans="8:8">
      <c r="H23" s="10"/>
    </row>
    <row r="24" spans="8:8">
      <c r="H24" s="10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2"/>
  <sheetViews>
    <sheetView zoomScale="90" zoomScaleNormal="90" topLeftCell="E97" workbookViewId="0">
      <selection activeCell="V101" sqref="V101"/>
    </sheetView>
  </sheetViews>
  <sheetFormatPr defaultColWidth="8.89814814814815" defaultRowHeight="14.4"/>
  <cols>
    <col min="1" max="1" width="12.7777777777778" customWidth="1"/>
    <col min="8" max="8" width="12.7777777777778" customWidth="1"/>
    <col min="14" max="16" width="12.8888888888889" customWidth="1"/>
    <col min="18" max="18" width="19.1203703703704" customWidth="1"/>
  </cols>
  <sheetData>
    <row r="1" spans="1:13">
      <c r="A1" s="1" t="s">
        <v>71</v>
      </c>
      <c r="B1" s="1"/>
      <c r="C1" s="1"/>
      <c r="D1" s="1"/>
      <c r="E1" s="1"/>
      <c r="F1" s="5"/>
      <c r="H1" s="1" t="s">
        <v>72</v>
      </c>
      <c r="I1" s="1"/>
      <c r="J1" s="1"/>
      <c r="K1" s="1"/>
      <c r="L1" s="1"/>
      <c r="M1" s="5"/>
    </row>
    <row r="2" spans="1:13">
      <c r="A2" s="2" t="s">
        <v>73</v>
      </c>
      <c r="B2" s="2" t="s">
        <v>74</v>
      </c>
      <c r="C2" s="2" t="s">
        <v>75</v>
      </c>
      <c r="D2" s="2" t="s">
        <v>76</v>
      </c>
      <c r="E2" s="2" t="s">
        <v>77</v>
      </c>
      <c r="F2" t="s">
        <v>78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t="s">
        <v>78</v>
      </c>
    </row>
    <row r="3" spans="1:13">
      <c r="A3" s="2">
        <v>0</v>
      </c>
      <c r="B3" s="2">
        <v>0</v>
      </c>
      <c r="C3" s="2">
        <v>0</v>
      </c>
      <c r="D3" s="2">
        <v>0</v>
      </c>
      <c r="E3" s="2">
        <v>0</v>
      </c>
      <c r="F3">
        <v>45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>
        <v>45</v>
      </c>
    </row>
    <row r="4" spans="1:16">
      <c r="A4" s="2">
        <v>0.241849953016284</v>
      </c>
      <c r="B4" s="2">
        <v>0.923798772218021</v>
      </c>
      <c r="C4" s="2">
        <v>0.261326897984355</v>
      </c>
      <c r="D4" s="2">
        <v>0.195995173488267</v>
      </c>
      <c r="E4" s="2">
        <v>0.130663448992178</v>
      </c>
      <c r="F4">
        <v>45</v>
      </c>
      <c r="H4" s="2">
        <v>0.317247604164523</v>
      </c>
      <c r="I4" s="2">
        <v>1.21179658528428</v>
      </c>
      <c r="J4" s="2">
        <v>0.443604050370685</v>
      </c>
      <c r="K4" s="2">
        <v>0.332703037778014</v>
      </c>
      <c r="L4" s="2">
        <v>0.221802025185342</v>
      </c>
      <c r="M4">
        <v>45</v>
      </c>
      <c r="N4">
        <f t="shared" ref="N4:N67" si="0">H4-H3</f>
        <v>0.317247604164523</v>
      </c>
      <c r="O4">
        <f t="shared" ref="O4:O67" si="1">J4-J3</f>
        <v>0.443604050370685</v>
      </c>
      <c r="P4">
        <f t="shared" ref="P4:P67" si="2">O4/N4</f>
        <v>1.39828967830639</v>
      </c>
    </row>
    <row r="5" spans="1:16">
      <c r="A5" s="2">
        <v>0.483699906032567</v>
      </c>
      <c r="B5" s="2">
        <v>1.84759754443604</v>
      </c>
      <c r="C5" s="2">
        <v>0.522385248930862</v>
      </c>
      <c r="D5" s="2">
        <v>0.391788936698147</v>
      </c>
      <c r="E5" s="2">
        <v>0.261192624465431</v>
      </c>
      <c r="F5">
        <v>45</v>
      </c>
      <c r="H5" s="2">
        <v>0.634495208329046</v>
      </c>
      <c r="I5" s="2">
        <v>2.42359317056855</v>
      </c>
      <c r="J5" s="2">
        <v>0.88720810074137</v>
      </c>
      <c r="K5" s="2">
        <v>0.665406075556027</v>
      </c>
      <c r="L5" s="2">
        <v>0.443604050370685</v>
      </c>
      <c r="M5">
        <v>45</v>
      </c>
      <c r="N5">
        <f t="shared" si="0"/>
        <v>0.317247604164523</v>
      </c>
      <c r="O5">
        <f t="shared" si="1"/>
        <v>0.443604050370685</v>
      </c>
      <c r="P5">
        <f t="shared" si="2"/>
        <v>1.39828967830639</v>
      </c>
    </row>
    <row r="6" spans="1:16">
      <c r="A6" s="2">
        <v>0.725549859048851</v>
      </c>
      <c r="B6" s="2">
        <v>2.77139631665406</v>
      </c>
      <c r="C6" s="2">
        <v>0.781179018058611</v>
      </c>
      <c r="D6" s="2">
        <v>0.585884263543958</v>
      </c>
      <c r="E6" s="2">
        <v>0.390589509029306</v>
      </c>
      <c r="F6">
        <v>45</v>
      </c>
      <c r="H6" s="2">
        <v>0.95174281249357</v>
      </c>
      <c r="I6" s="2">
        <v>3.63538975585283</v>
      </c>
      <c r="J6" s="2">
        <v>1.3088199580173</v>
      </c>
      <c r="K6" s="2">
        <v>0.981614968512974</v>
      </c>
      <c r="L6" s="2">
        <v>0.654409979008649</v>
      </c>
      <c r="M6">
        <v>45</v>
      </c>
      <c r="N6">
        <f t="shared" si="0"/>
        <v>0.317247604164524</v>
      </c>
      <c r="O6">
        <f t="shared" si="1"/>
        <v>0.42161185727593</v>
      </c>
      <c r="P6">
        <f t="shared" si="2"/>
        <v>1.3289678211637</v>
      </c>
    </row>
    <row r="7" spans="1:16">
      <c r="A7" s="2">
        <v>0.967399812065135</v>
      </c>
      <c r="B7" s="2">
        <v>3.69519508887208</v>
      </c>
      <c r="C7" s="2">
        <v>1.03968510223983</v>
      </c>
      <c r="D7" s="2">
        <v>0.779763826679869</v>
      </c>
      <c r="E7" s="2">
        <v>0.519842551119913</v>
      </c>
      <c r="F7">
        <v>45</v>
      </c>
      <c r="H7" s="2">
        <v>1.26899041665809</v>
      </c>
      <c r="I7" s="2">
        <v>4.8471863411371</v>
      </c>
      <c r="J7" s="2">
        <v>1.70801900268876</v>
      </c>
      <c r="K7" s="2">
        <v>1.28101425201657</v>
      </c>
      <c r="L7" s="2">
        <v>0.854009501344379</v>
      </c>
      <c r="M7">
        <v>45</v>
      </c>
      <c r="N7">
        <f t="shared" si="0"/>
        <v>0.31724760416452</v>
      </c>
      <c r="O7">
        <f t="shared" si="1"/>
        <v>0.39919904467146</v>
      </c>
      <c r="P7">
        <f t="shared" si="2"/>
        <v>1.25832012419057</v>
      </c>
    </row>
    <row r="8" spans="1:16">
      <c r="A8" s="2">
        <v>1.20924976508143</v>
      </c>
      <c r="B8" s="2">
        <v>4.61899386109013</v>
      </c>
      <c r="C8" s="2">
        <v>1.29699204441081</v>
      </c>
      <c r="D8" s="2">
        <v>0.972744033308107</v>
      </c>
      <c r="E8" s="2">
        <v>0.648496022205405</v>
      </c>
      <c r="F8">
        <v>45</v>
      </c>
      <c r="H8" s="2">
        <v>1.58623802082262</v>
      </c>
      <c r="I8" s="2">
        <v>6.05898292642138</v>
      </c>
      <c r="J8" s="2">
        <v>2.10721804736022</v>
      </c>
      <c r="K8" s="2">
        <v>1.58041353552016</v>
      </c>
      <c r="L8" s="2">
        <v>1.05360902368011</v>
      </c>
      <c r="M8">
        <v>45</v>
      </c>
      <c r="N8">
        <f t="shared" si="0"/>
        <v>0.31724760416453</v>
      </c>
      <c r="O8">
        <f t="shared" si="1"/>
        <v>0.39919904467146</v>
      </c>
      <c r="P8">
        <f t="shared" si="2"/>
        <v>1.25832012419053</v>
      </c>
    </row>
    <row r="9" spans="1:16">
      <c r="A9" s="2">
        <v>1.45109971809771</v>
      </c>
      <c r="B9" s="2">
        <v>5.54279263330815</v>
      </c>
      <c r="C9" s="2">
        <v>1.5541480417787</v>
      </c>
      <c r="D9" s="2">
        <v>1.16561103133402</v>
      </c>
      <c r="E9" s="2">
        <v>0.777074020889348</v>
      </c>
      <c r="F9">
        <v>45</v>
      </c>
      <c r="H9" s="2">
        <v>1.90348562498714</v>
      </c>
      <c r="I9" s="2">
        <v>7.27077951170566</v>
      </c>
      <c r="J9" s="2">
        <v>2.48695700588343</v>
      </c>
      <c r="K9" s="2">
        <v>1.86521775441257</v>
      </c>
      <c r="L9" s="2">
        <v>1.24347850294171</v>
      </c>
      <c r="M9">
        <v>45</v>
      </c>
      <c r="N9">
        <f t="shared" si="0"/>
        <v>0.31724760416452</v>
      </c>
      <c r="O9">
        <f t="shared" si="1"/>
        <v>0.37973895852321</v>
      </c>
      <c r="P9">
        <f t="shared" si="2"/>
        <v>1.1969797518984</v>
      </c>
    </row>
    <row r="10" spans="1:16">
      <c r="A10" s="2">
        <v>1.69294967111399</v>
      </c>
      <c r="B10" s="2">
        <v>6.46659140552617</v>
      </c>
      <c r="C10" s="2">
        <v>1.81089574903055</v>
      </c>
      <c r="D10" s="2">
        <v>1.35817181177291</v>
      </c>
      <c r="E10" s="2">
        <v>0.905447874515273</v>
      </c>
      <c r="F10">
        <v>45</v>
      </c>
      <c r="H10" s="2">
        <v>2.22073322915167</v>
      </c>
      <c r="I10" s="2">
        <v>8.48257609698996</v>
      </c>
      <c r="J10" s="2">
        <v>2.85882111729303</v>
      </c>
      <c r="K10" s="2">
        <v>2.14411583796977</v>
      </c>
      <c r="L10" s="2">
        <v>1.42941055864652</v>
      </c>
      <c r="M10">
        <v>45</v>
      </c>
      <c r="N10">
        <f t="shared" si="0"/>
        <v>0.31724760416453</v>
      </c>
      <c r="O10">
        <f t="shared" si="1"/>
        <v>0.3718641114096</v>
      </c>
      <c r="P10">
        <f t="shared" si="2"/>
        <v>1.17215735131839</v>
      </c>
    </row>
    <row r="11" spans="1:16">
      <c r="A11" s="2">
        <v>1.93479962413028</v>
      </c>
      <c r="B11" s="2">
        <v>7.39039017774419</v>
      </c>
      <c r="C11" s="2">
        <v>2.06773562085875</v>
      </c>
      <c r="D11" s="2">
        <v>1.55080171564406</v>
      </c>
      <c r="E11" s="2">
        <v>1.03386781042937</v>
      </c>
      <c r="F11">
        <v>45</v>
      </c>
      <c r="H11" s="2">
        <v>2.53798083331619</v>
      </c>
      <c r="I11" s="2">
        <v>9.69437268227424</v>
      </c>
      <c r="J11" s="2">
        <v>3.23068522870263</v>
      </c>
      <c r="K11" s="2">
        <v>2.42301392152697</v>
      </c>
      <c r="L11" s="2">
        <v>1.61534261435132</v>
      </c>
      <c r="M11">
        <v>45</v>
      </c>
      <c r="N11">
        <f t="shared" si="0"/>
        <v>0.31724760416452</v>
      </c>
      <c r="O11">
        <f t="shared" si="1"/>
        <v>0.3718641114096</v>
      </c>
      <c r="P11">
        <f t="shared" si="2"/>
        <v>1.17215735131843</v>
      </c>
    </row>
    <row r="12" spans="1:16">
      <c r="A12" s="2">
        <v>2.17664957714656</v>
      </c>
      <c r="B12" s="2">
        <v>8.31418894996222</v>
      </c>
      <c r="C12" s="2">
        <v>2.32475269933625</v>
      </c>
      <c r="D12" s="2">
        <v>1.74356452450219</v>
      </c>
      <c r="E12" s="2">
        <v>1.16237634966813</v>
      </c>
      <c r="F12">
        <v>45</v>
      </c>
      <c r="H12" s="2">
        <v>2.85522843748072</v>
      </c>
      <c r="I12" s="2">
        <v>10.9061692675585</v>
      </c>
      <c r="J12" s="2">
        <v>3.59112059036398</v>
      </c>
      <c r="K12" s="2">
        <v>2.69334044277299</v>
      </c>
      <c r="L12" s="2">
        <v>1.79556029518199</v>
      </c>
      <c r="M12">
        <v>45</v>
      </c>
      <c r="N12">
        <f t="shared" si="0"/>
        <v>0.31724760416453</v>
      </c>
      <c r="O12">
        <f t="shared" si="1"/>
        <v>0.36043536166135</v>
      </c>
      <c r="P12">
        <f t="shared" si="2"/>
        <v>1.13613265137354</v>
      </c>
    </row>
    <row r="13" spans="1:16">
      <c r="A13" s="2">
        <v>2.41849953016285</v>
      </c>
      <c r="B13" s="2">
        <v>9.23798772218024</v>
      </c>
      <c r="C13" s="2">
        <v>2.58219229874828</v>
      </c>
      <c r="D13" s="2">
        <v>1.93664422406121</v>
      </c>
      <c r="E13" s="2">
        <v>1.29109614937414</v>
      </c>
      <c r="F13">
        <v>45</v>
      </c>
      <c r="H13" s="2">
        <v>3.17247604164524</v>
      </c>
      <c r="I13" s="2">
        <v>12.1179658528428</v>
      </c>
      <c r="J13" s="2">
        <v>3.94719833780323</v>
      </c>
      <c r="K13" s="2">
        <v>2.96039875335242</v>
      </c>
      <c r="L13" s="2">
        <v>1.97359916890162</v>
      </c>
      <c r="M13">
        <v>45</v>
      </c>
      <c r="N13">
        <f t="shared" si="0"/>
        <v>0.31724760416452</v>
      </c>
      <c r="O13">
        <f t="shared" si="1"/>
        <v>0.35607774743925</v>
      </c>
      <c r="P13">
        <f t="shared" si="2"/>
        <v>1.12239696301881</v>
      </c>
    </row>
    <row r="14" spans="1:16">
      <c r="A14" s="2">
        <v>2.66034948317913</v>
      </c>
      <c r="B14" s="2">
        <v>10.1617864943983</v>
      </c>
      <c r="C14" s="2">
        <v>2.84022407316369</v>
      </c>
      <c r="D14" s="2">
        <v>2.13016805487277</v>
      </c>
      <c r="E14" s="2">
        <v>1.42011203658185</v>
      </c>
      <c r="F14">
        <v>45</v>
      </c>
      <c r="H14" s="2">
        <v>3.48972364580976</v>
      </c>
      <c r="I14" s="2">
        <v>13.3297624381271</v>
      </c>
      <c r="J14" s="2">
        <v>4.30327608524248</v>
      </c>
      <c r="K14" s="2">
        <v>3.22745706393186</v>
      </c>
      <c r="L14" s="2">
        <v>2.15163804262124</v>
      </c>
      <c r="M14">
        <v>45</v>
      </c>
      <c r="N14">
        <f t="shared" si="0"/>
        <v>0.31724760416452</v>
      </c>
      <c r="O14">
        <f t="shared" si="1"/>
        <v>0.35607774743925</v>
      </c>
      <c r="P14">
        <f t="shared" si="2"/>
        <v>1.12239696301881</v>
      </c>
    </row>
    <row r="15" spans="1:16">
      <c r="A15" s="2">
        <v>2.90219943619541</v>
      </c>
      <c r="B15" s="2">
        <v>11.0855852666163</v>
      </c>
      <c r="C15" s="2">
        <v>3.09909753613739</v>
      </c>
      <c r="D15" s="2">
        <v>2.32432315210304</v>
      </c>
      <c r="E15" s="2">
        <v>1.54954876806869</v>
      </c>
      <c r="F15">
        <v>45</v>
      </c>
      <c r="H15" s="2">
        <v>3.80697124997429</v>
      </c>
      <c r="I15" s="2">
        <v>14.5415590234113</v>
      </c>
      <c r="J15" s="2">
        <v>4.65483434678283</v>
      </c>
      <c r="K15" s="2">
        <v>3.49112576008712</v>
      </c>
      <c r="L15" s="2">
        <v>2.32741717339142</v>
      </c>
      <c r="M15">
        <v>45</v>
      </c>
      <c r="N15">
        <f t="shared" si="0"/>
        <v>0.31724760416453</v>
      </c>
      <c r="O15">
        <f t="shared" si="1"/>
        <v>0.35155826154035</v>
      </c>
      <c r="P15">
        <f t="shared" si="2"/>
        <v>1.10815103699893</v>
      </c>
    </row>
    <row r="16" spans="1:16">
      <c r="A16" s="2">
        <v>3.1440493892117</v>
      </c>
      <c r="B16" s="2">
        <v>12.0093840388343</v>
      </c>
      <c r="C16" s="2">
        <v>3.35881867184606</v>
      </c>
      <c r="D16" s="2">
        <v>2.51911400388455</v>
      </c>
      <c r="E16" s="2">
        <v>1.67940933592303</v>
      </c>
      <c r="F16">
        <v>45</v>
      </c>
      <c r="H16" s="2">
        <v>4.12421885413881</v>
      </c>
      <c r="I16" s="2">
        <v>15.7533556086956</v>
      </c>
      <c r="J16" s="2">
        <v>5.00342387617975</v>
      </c>
      <c r="K16" s="2">
        <v>3.75256790713481</v>
      </c>
      <c r="L16" s="2">
        <v>2.50171193808988</v>
      </c>
      <c r="M16">
        <v>45</v>
      </c>
      <c r="N16">
        <f t="shared" si="0"/>
        <v>0.31724760416452</v>
      </c>
      <c r="O16">
        <f t="shared" si="1"/>
        <v>0.34858952939692</v>
      </c>
      <c r="P16">
        <f t="shared" si="2"/>
        <v>1.09879326059826</v>
      </c>
    </row>
    <row r="17" spans="1:16">
      <c r="A17" s="2">
        <v>3.38589934222798</v>
      </c>
      <c r="B17" s="2">
        <v>12.9331828110523</v>
      </c>
      <c r="C17" s="2">
        <v>3.61990476530891</v>
      </c>
      <c r="D17" s="2">
        <v>2.71492857398168</v>
      </c>
      <c r="E17" s="2">
        <v>1.80995238265445</v>
      </c>
      <c r="F17">
        <v>45</v>
      </c>
      <c r="H17" s="2">
        <v>4.44146645830333</v>
      </c>
      <c r="I17" s="2">
        <v>16.9651521939799</v>
      </c>
      <c r="J17" s="2">
        <v>5.35201340557668</v>
      </c>
      <c r="K17" s="2">
        <v>4.01401005418251</v>
      </c>
      <c r="L17" s="2">
        <v>2.67600670278834</v>
      </c>
      <c r="M17">
        <v>45</v>
      </c>
      <c r="N17">
        <f t="shared" si="0"/>
        <v>0.317247604164519</v>
      </c>
      <c r="O17">
        <f t="shared" si="1"/>
        <v>0.34858952939693</v>
      </c>
      <c r="P17">
        <f t="shared" si="2"/>
        <v>1.0987932605983</v>
      </c>
    </row>
    <row r="18" spans="1:16">
      <c r="A18" s="2">
        <v>3.62774929524427</v>
      </c>
      <c r="B18" s="2">
        <v>13.8569815832704</v>
      </c>
      <c r="C18" s="2">
        <v>3.88192949889525</v>
      </c>
      <c r="D18" s="2">
        <v>2.91144712417143</v>
      </c>
      <c r="E18" s="2">
        <v>1.94096474944762</v>
      </c>
      <c r="F18">
        <v>45</v>
      </c>
      <c r="H18" s="2">
        <v>4.75871406246786</v>
      </c>
      <c r="I18" s="2">
        <v>18.1769487792642</v>
      </c>
      <c r="J18" s="2">
        <v>5.70009110946359</v>
      </c>
      <c r="K18" s="2">
        <v>4.27506833209769</v>
      </c>
      <c r="L18" s="2">
        <v>2.85004555473179</v>
      </c>
      <c r="M18">
        <v>45</v>
      </c>
      <c r="N18">
        <f t="shared" si="0"/>
        <v>0.31724760416453</v>
      </c>
      <c r="O18">
        <f t="shared" si="1"/>
        <v>0.34807770388691</v>
      </c>
      <c r="P18">
        <f t="shared" si="2"/>
        <v>1.09717992923405</v>
      </c>
    </row>
    <row r="19" spans="1:16">
      <c r="A19" s="2">
        <v>3.86959924826055</v>
      </c>
      <c r="B19" s="2">
        <v>14.7807803554884</v>
      </c>
      <c r="C19" s="2">
        <v>4.14597055658357</v>
      </c>
      <c r="D19" s="2">
        <v>3.10947791743768</v>
      </c>
      <c r="E19" s="2">
        <v>2.07298527829178</v>
      </c>
      <c r="F19">
        <v>45</v>
      </c>
      <c r="H19" s="2">
        <v>5.07596166663238</v>
      </c>
      <c r="I19" s="2">
        <v>19.3887453645484</v>
      </c>
      <c r="J19" s="2">
        <v>6.04745057862513</v>
      </c>
      <c r="K19" s="2">
        <v>4.53558793396885</v>
      </c>
      <c r="L19" s="2">
        <v>3.02372528931256</v>
      </c>
      <c r="M19">
        <v>45</v>
      </c>
      <c r="N19">
        <f t="shared" si="0"/>
        <v>0.31724760416452</v>
      </c>
      <c r="O19">
        <f t="shared" si="1"/>
        <v>0.34735946916154</v>
      </c>
      <c r="P19">
        <f t="shared" si="2"/>
        <v>1.09491597289228</v>
      </c>
    </row>
    <row r="20" spans="1:16">
      <c r="A20" s="2">
        <v>4.11144920127684</v>
      </c>
      <c r="B20" s="2">
        <v>15.7045791277064</v>
      </c>
      <c r="C20" s="2">
        <v>4.4108610513716</v>
      </c>
      <c r="D20" s="2">
        <v>3.3081457885287</v>
      </c>
      <c r="E20" s="2">
        <v>2.2054305256858</v>
      </c>
      <c r="F20">
        <v>45</v>
      </c>
      <c r="H20" s="2">
        <v>5.3932092707969</v>
      </c>
      <c r="I20" s="2">
        <v>20.6005419498327</v>
      </c>
      <c r="J20" s="2">
        <v>6.39481004778667</v>
      </c>
      <c r="K20" s="2">
        <v>4.79610753584</v>
      </c>
      <c r="L20" s="2">
        <v>3.19740502389333</v>
      </c>
      <c r="M20">
        <v>45</v>
      </c>
      <c r="N20">
        <f t="shared" si="0"/>
        <v>0.31724760416452</v>
      </c>
      <c r="O20">
        <f t="shared" si="1"/>
        <v>0.347359469161541</v>
      </c>
      <c r="P20">
        <f t="shared" si="2"/>
        <v>1.09491597289228</v>
      </c>
    </row>
    <row r="21" spans="1:16">
      <c r="A21" s="2">
        <v>4.35329915429312</v>
      </c>
      <c r="B21" s="2">
        <v>16.6283778999244</v>
      </c>
      <c r="C21" s="2">
        <v>4.67857640723523</v>
      </c>
      <c r="D21" s="2">
        <v>3.50893230542642</v>
      </c>
      <c r="E21" s="2">
        <v>2.33928820361761</v>
      </c>
      <c r="F21">
        <v>45</v>
      </c>
      <c r="H21" s="2">
        <v>5.71045687496143</v>
      </c>
      <c r="I21" s="2">
        <v>21.812338535117</v>
      </c>
      <c r="J21" s="2">
        <v>6.74297011736948</v>
      </c>
      <c r="K21" s="2">
        <v>5.05722758802711</v>
      </c>
      <c r="L21" s="2">
        <v>3.37148505868474</v>
      </c>
      <c r="M21">
        <v>45</v>
      </c>
      <c r="N21">
        <f t="shared" si="0"/>
        <v>0.31724760416453</v>
      </c>
      <c r="O21">
        <f t="shared" si="1"/>
        <v>0.34816006958281</v>
      </c>
      <c r="P21">
        <f t="shared" si="2"/>
        <v>1.09743955513766</v>
      </c>
    </row>
    <row r="22" spans="1:16">
      <c r="A22" s="2">
        <v>4.59514910730941</v>
      </c>
      <c r="B22" s="2">
        <v>17.5521766721425</v>
      </c>
      <c r="C22" s="2">
        <v>4.94684962463529</v>
      </c>
      <c r="D22" s="2">
        <v>3.71013721847647</v>
      </c>
      <c r="E22" s="2">
        <v>2.47342481231764</v>
      </c>
      <c r="F22">
        <v>45</v>
      </c>
      <c r="H22" s="2">
        <v>6.02770447912596</v>
      </c>
      <c r="I22" s="2">
        <v>23.0241351204013</v>
      </c>
      <c r="J22" s="2">
        <v>7.09401284002814</v>
      </c>
      <c r="K22" s="2">
        <v>5.3205096300211</v>
      </c>
      <c r="L22" s="2">
        <v>3.54700642001407</v>
      </c>
      <c r="M22">
        <v>45</v>
      </c>
      <c r="N22">
        <f t="shared" si="0"/>
        <v>0.31724760416453</v>
      </c>
      <c r="O22">
        <f t="shared" si="1"/>
        <v>0.35104272265866</v>
      </c>
      <c r="P22">
        <f t="shared" si="2"/>
        <v>1.10652600067108</v>
      </c>
    </row>
    <row r="23" spans="1:16">
      <c r="A23" s="2">
        <v>4.83699906032569</v>
      </c>
      <c r="B23" s="2">
        <v>18.4759754443605</v>
      </c>
      <c r="C23" s="2">
        <v>5.21894494726488</v>
      </c>
      <c r="D23" s="2">
        <v>3.91420871044866</v>
      </c>
      <c r="E23" s="2">
        <v>2.60947247363244</v>
      </c>
      <c r="F23">
        <v>45</v>
      </c>
      <c r="H23" s="2">
        <v>6.34495208329048</v>
      </c>
      <c r="I23" s="2">
        <v>24.2359317056856</v>
      </c>
      <c r="J23" s="2">
        <v>7.44505556268679</v>
      </c>
      <c r="K23" s="2">
        <v>5.5837916720151</v>
      </c>
      <c r="L23" s="2">
        <v>3.7225277813434</v>
      </c>
      <c r="M23">
        <v>45</v>
      </c>
      <c r="N23">
        <f t="shared" si="0"/>
        <v>0.31724760416452</v>
      </c>
      <c r="O23">
        <f t="shared" si="1"/>
        <v>0.35104272265865</v>
      </c>
      <c r="P23">
        <f t="shared" si="2"/>
        <v>1.10652600067108</v>
      </c>
    </row>
    <row r="24" spans="1:16">
      <c r="A24" s="2">
        <v>5.07884901334198</v>
      </c>
      <c r="B24" s="2">
        <v>19.3997742165785</v>
      </c>
      <c r="C24" s="2">
        <v>5.49181568434531</v>
      </c>
      <c r="D24" s="2">
        <v>4.11886176325898</v>
      </c>
      <c r="E24" s="2">
        <v>2.74590784217265</v>
      </c>
      <c r="F24">
        <v>45</v>
      </c>
      <c r="H24" s="2">
        <v>6.662199687455</v>
      </c>
      <c r="I24" s="2">
        <v>25.4477282909699</v>
      </c>
      <c r="J24" s="2">
        <v>7.79649880397325</v>
      </c>
      <c r="K24" s="2">
        <v>5.84737410297993</v>
      </c>
      <c r="L24" s="2">
        <v>3.89824940198662</v>
      </c>
      <c r="M24">
        <v>45</v>
      </c>
      <c r="N24">
        <f t="shared" si="0"/>
        <v>0.317247604164519</v>
      </c>
      <c r="O24">
        <f t="shared" si="1"/>
        <v>0.351443241286461</v>
      </c>
      <c r="P24">
        <f t="shared" si="2"/>
        <v>1.10778848026921</v>
      </c>
    </row>
    <row r="25" spans="1:16">
      <c r="A25" s="2">
        <v>5.32069896635826</v>
      </c>
      <c r="B25" s="2">
        <v>20.3235729887965</v>
      </c>
      <c r="C25" s="2">
        <v>5.76825190325288</v>
      </c>
      <c r="D25" s="2">
        <v>4.32618892743966</v>
      </c>
      <c r="E25" s="2">
        <v>2.88412595162644</v>
      </c>
      <c r="F25">
        <v>45</v>
      </c>
      <c r="H25" s="2">
        <v>6.97944729161952</v>
      </c>
      <c r="I25" s="2">
        <v>26.6595248762541</v>
      </c>
      <c r="J25" s="2">
        <v>8.15521594007583</v>
      </c>
      <c r="K25" s="2">
        <v>6.11641195505687</v>
      </c>
      <c r="L25" s="2">
        <v>4.07760797003791</v>
      </c>
      <c r="M25">
        <v>45</v>
      </c>
      <c r="N25">
        <f t="shared" si="0"/>
        <v>0.31724760416452</v>
      </c>
      <c r="O25">
        <f t="shared" si="1"/>
        <v>0.35871713610258</v>
      </c>
      <c r="P25">
        <f t="shared" si="2"/>
        <v>1.13071661186306</v>
      </c>
    </row>
    <row r="26" spans="1:16">
      <c r="A26" s="2">
        <v>5.56254891937455</v>
      </c>
      <c r="B26" s="2">
        <v>21.2473717610146</v>
      </c>
      <c r="C26" s="2">
        <v>6.04648393614177</v>
      </c>
      <c r="D26" s="2">
        <v>4.53486295210632</v>
      </c>
      <c r="E26" s="2">
        <v>3.02324196807088</v>
      </c>
      <c r="F26">
        <v>45</v>
      </c>
      <c r="H26" s="2">
        <v>7.29669489578405</v>
      </c>
      <c r="I26" s="2">
        <v>27.8713214615384</v>
      </c>
      <c r="J26" s="2">
        <v>8.5139330761784</v>
      </c>
      <c r="K26" s="2">
        <v>6.3854498071338</v>
      </c>
      <c r="L26" s="2">
        <v>4.2569665380892</v>
      </c>
      <c r="M26">
        <v>45</v>
      </c>
      <c r="N26">
        <f t="shared" si="0"/>
        <v>0.31724760416453</v>
      </c>
      <c r="O26">
        <f t="shared" si="1"/>
        <v>0.35871713610257</v>
      </c>
      <c r="P26">
        <f t="shared" si="2"/>
        <v>1.13071661186299</v>
      </c>
    </row>
    <row r="27" spans="1:16">
      <c r="A27" s="2">
        <v>5.80439887239083</v>
      </c>
      <c r="B27" s="2">
        <v>22.1711705332326</v>
      </c>
      <c r="C27" s="2">
        <v>6.32763483171818</v>
      </c>
      <c r="D27" s="2">
        <v>4.74572612378863</v>
      </c>
      <c r="E27" s="2">
        <v>3.16381741585909</v>
      </c>
      <c r="F27">
        <v>45</v>
      </c>
      <c r="H27" s="2">
        <v>7.61394249994857</v>
      </c>
      <c r="I27" s="2">
        <v>29.0831180468227</v>
      </c>
      <c r="J27" s="2">
        <v>8.87265021228098</v>
      </c>
      <c r="K27" s="2">
        <v>6.65448765921074</v>
      </c>
      <c r="L27" s="2">
        <v>4.43632510614049</v>
      </c>
      <c r="M27">
        <v>45</v>
      </c>
      <c r="N27">
        <f t="shared" si="0"/>
        <v>0.31724760416452</v>
      </c>
      <c r="O27">
        <f t="shared" si="1"/>
        <v>0.35871713610258</v>
      </c>
      <c r="P27">
        <f t="shared" si="2"/>
        <v>1.13071661186306</v>
      </c>
    </row>
    <row r="28" spans="1:16">
      <c r="A28" s="2">
        <v>6.04624882540712</v>
      </c>
      <c r="B28" s="2">
        <v>23.0949693054506</v>
      </c>
      <c r="C28" s="2">
        <v>6.61194946227022</v>
      </c>
      <c r="D28" s="2">
        <v>4.95896209670267</v>
      </c>
      <c r="E28" s="2">
        <v>3.30597473113511</v>
      </c>
      <c r="F28">
        <v>45</v>
      </c>
      <c r="H28" s="2">
        <v>7.93119010411309</v>
      </c>
      <c r="I28" s="2">
        <v>30.294914632107</v>
      </c>
      <c r="J28" s="2">
        <v>9.24188097972485</v>
      </c>
      <c r="K28" s="2">
        <v>6.93141073479364</v>
      </c>
      <c r="L28" s="2">
        <v>4.62094048986243</v>
      </c>
      <c r="M28">
        <v>45</v>
      </c>
      <c r="N28">
        <f t="shared" si="0"/>
        <v>0.317247604164519</v>
      </c>
      <c r="O28">
        <f t="shared" si="1"/>
        <v>0.36923076744387</v>
      </c>
      <c r="P28">
        <f t="shared" si="2"/>
        <v>1.16385675603839</v>
      </c>
    </row>
    <row r="29" spans="1:16">
      <c r="A29" s="2">
        <v>6.2880987784234</v>
      </c>
      <c r="B29" s="2">
        <v>24.0187680776686</v>
      </c>
      <c r="C29" s="2">
        <v>6.89819939035026</v>
      </c>
      <c r="D29" s="2">
        <v>5.1736495427627</v>
      </c>
      <c r="E29" s="2">
        <v>3.44909969517513</v>
      </c>
      <c r="F29">
        <v>45</v>
      </c>
      <c r="H29" s="2">
        <v>8.24843770827762</v>
      </c>
      <c r="I29" s="2">
        <v>31.5067112173912</v>
      </c>
      <c r="J29" s="2">
        <v>9.61161025285453</v>
      </c>
      <c r="K29" s="2">
        <v>7.2087076896409</v>
      </c>
      <c r="L29" s="2">
        <v>4.80580512642726</v>
      </c>
      <c r="M29">
        <v>45</v>
      </c>
      <c r="N29">
        <f t="shared" si="0"/>
        <v>0.317247604164531</v>
      </c>
      <c r="O29">
        <f t="shared" si="1"/>
        <v>0.36972927312968</v>
      </c>
      <c r="P29">
        <f t="shared" si="2"/>
        <v>1.165428101824</v>
      </c>
    </row>
    <row r="30" spans="1:16">
      <c r="A30" s="2">
        <v>6.52994873143968</v>
      </c>
      <c r="B30" s="2">
        <v>24.9425668498866</v>
      </c>
      <c r="C30" s="2">
        <v>7.18931508920689</v>
      </c>
      <c r="D30" s="2">
        <v>5.39198631690517</v>
      </c>
      <c r="E30" s="2">
        <v>3.59465754460344</v>
      </c>
      <c r="F30">
        <v>45</v>
      </c>
      <c r="H30" s="2">
        <v>8.56568531244214</v>
      </c>
      <c r="I30" s="2">
        <v>32.7185078026755</v>
      </c>
      <c r="J30" s="2">
        <v>9.98133952598421</v>
      </c>
      <c r="K30" s="2">
        <v>7.48600464448816</v>
      </c>
      <c r="L30" s="2">
        <v>4.99066976299211</v>
      </c>
      <c r="M30">
        <v>45</v>
      </c>
      <c r="N30">
        <f t="shared" si="0"/>
        <v>0.317247604164519</v>
      </c>
      <c r="O30">
        <f t="shared" si="1"/>
        <v>0.369729273129678</v>
      </c>
      <c r="P30">
        <f t="shared" si="2"/>
        <v>1.16542810182403</v>
      </c>
    </row>
    <row r="31" spans="1:16">
      <c r="A31" s="2">
        <v>6.77179868445597</v>
      </c>
      <c r="B31" s="2">
        <v>25.8663656221047</v>
      </c>
      <c r="C31" s="2">
        <v>7.48215195397079</v>
      </c>
      <c r="D31" s="2">
        <v>5.6116139654781</v>
      </c>
      <c r="E31" s="2">
        <v>3.7410759769854</v>
      </c>
      <c r="F31">
        <v>45</v>
      </c>
      <c r="H31" s="2">
        <v>8.88293291660667</v>
      </c>
      <c r="I31" s="2">
        <v>33.9303043879598</v>
      </c>
      <c r="J31" s="2">
        <v>10.3642420610885</v>
      </c>
      <c r="K31" s="2">
        <v>7.77318154581636</v>
      </c>
      <c r="L31" s="2">
        <v>5.18212103054424</v>
      </c>
      <c r="M31">
        <v>45</v>
      </c>
      <c r="N31">
        <f t="shared" si="0"/>
        <v>0.31724760416453</v>
      </c>
      <c r="O31">
        <f t="shared" si="1"/>
        <v>0.382902535104291</v>
      </c>
      <c r="P31">
        <f t="shared" si="2"/>
        <v>1.20695169980137</v>
      </c>
    </row>
    <row r="32" spans="1:16">
      <c r="A32" s="2">
        <v>7.01364863747226</v>
      </c>
      <c r="B32" s="2">
        <v>26.7901643943227</v>
      </c>
      <c r="C32" s="2">
        <v>7.77965672140573</v>
      </c>
      <c r="D32" s="2">
        <v>5.8347425410543</v>
      </c>
      <c r="E32" s="2">
        <v>3.88982836070286</v>
      </c>
      <c r="F32">
        <v>45</v>
      </c>
      <c r="H32" s="2">
        <v>9.20018052077119</v>
      </c>
      <c r="I32" s="2">
        <v>35.1421009732441</v>
      </c>
      <c r="J32" s="2">
        <v>10.7478447988693</v>
      </c>
      <c r="K32" s="2">
        <v>8.06088359915195</v>
      </c>
      <c r="L32" s="2">
        <v>5.37392239943463</v>
      </c>
      <c r="M32">
        <v>45</v>
      </c>
      <c r="N32">
        <f t="shared" si="0"/>
        <v>0.317247604164519</v>
      </c>
      <c r="O32">
        <f t="shared" si="1"/>
        <v>0.3836027377808</v>
      </c>
      <c r="P32">
        <f t="shared" si="2"/>
        <v>1.20915881710448</v>
      </c>
    </row>
    <row r="33" spans="1:16">
      <c r="A33" s="2">
        <v>7.25549859048854</v>
      </c>
      <c r="B33" s="2">
        <v>27.7139631665407</v>
      </c>
      <c r="C33" s="2">
        <v>8.08040753286768</v>
      </c>
      <c r="D33" s="2">
        <v>6.06030564965076</v>
      </c>
      <c r="E33" s="2">
        <v>4.04020376643384</v>
      </c>
      <c r="F33">
        <v>45</v>
      </c>
      <c r="H33" s="2">
        <v>9.51742812493571</v>
      </c>
      <c r="I33" s="2">
        <v>36.3538975585283</v>
      </c>
      <c r="J33" s="2">
        <v>11.1323158358033</v>
      </c>
      <c r="K33" s="2">
        <v>8.3492368768525</v>
      </c>
      <c r="L33" s="2">
        <v>5.56615791790167</v>
      </c>
      <c r="M33">
        <v>45</v>
      </c>
      <c r="N33">
        <f t="shared" si="0"/>
        <v>0.317247604164521</v>
      </c>
      <c r="O33">
        <f t="shared" si="1"/>
        <v>0.384471036934</v>
      </c>
      <c r="P33">
        <f t="shared" si="2"/>
        <v>1.21189579333944</v>
      </c>
    </row>
    <row r="34" spans="1:16">
      <c r="A34" s="2">
        <v>7.49734854350482</v>
      </c>
      <c r="B34" s="2">
        <v>28.6377619387587</v>
      </c>
      <c r="C34" s="2">
        <v>8.38402558892832</v>
      </c>
      <c r="D34" s="2">
        <v>6.28801919169624</v>
      </c>
      <c r="E34" s="2">
        <v>4.19201279446416</v>
      </c>
      <c r="F34">
        <v>45</v>
      </c>
      <c r="H34" s="2">
        <v>9.83467572910024</v>
      </c>
      <c r="I34" s="2">
        <v>37.5656941438126</v>
      </c>
      <c r="J34" s="2">
        <v>11.5322971614423</v>
      </c>
      <c r="K34" s="2">
        <v>8.64922287108171</v>
      </c>
      <c r="L34" s="2">
        <v>5.76614858072114</v>
      </c>
      <c r="M34">
        <v>45</v>
      </c>
      <c r="N34">
        <f t="shared" si="0"/>
        <v>0.31724760416453</v>
      </c>
      <c r="O34">
        <f t="shared" si="1"/>
        <v>0.399981325638999</v>
      </c>
      <c r="P34">
        <f t="shared" si="2"/>
        <v>1.26078596146486</v>
      </c>
    </row>
    <row r="35" spans="1:16">
      <c r="A35" s="2">
        <v>7.73919849652111</v>
      </c>
      <c r="B35" s="2">
        <v>29.5615607109768</v>
      </c>
      <c r="C35" s="2">
        <v>8.69341960764802</v>
      </c>
      <c r="D35" s="2">
        <v>6.52006470573601</v>
      </c>
      <c r="E35" s="2">
        <v>4.34670980382401</v>
      </c>
      <c r="F35">
        <v>45</v>
      </c>
      <c r="H35" s="2">
        <v>10.1519233332648</v>
      </c>
      <c r="I35" s="2">
        <v>38.7774907290969</v>
      </c>
      <c r="J35" s="2">
        <v>11.9322784870812</v>
      </c>
      <c r="K35" s="2">
        <v>8.94920886531091</v>
      </c>
      <c r="L35" s="2">
        <v>5.96613924354061</v>
      </c>
      <c r="M35">
        <v>45</v>
      </c>
      <c r="N35">
        <f t="shared" si="0"/>
        <v>0.31724760416456</v>
      </c>
      <c r="O35">
        <f t="shared" si="1"/>
        <v>0.399981325638901</v>
      </c>
      <c r="P35">
        <f t="shared" si="2"/>
        <v>1.26078596146443</v>
      </c>
    </row>
    <row r="36" spans="1:16">
      <c r="A36" s="2">
        <v>7.98104844953739</v>
      </c>
      <c r="B36" s="2">
        <v>30.4853594831948</v>
      </c>
      <c r="C36" s="2">
        <v>9.00548686503051</v>
      </c>
      <c r="D36" s="2">
        <v>6.75411514877289</v>
      </c>
      <c r="E36" s="2">
        <v>4.50274343251526</v>
      </c>
      <c r="F36">
        <v>45</v>
      </c>
      <c r="H36" s="2">
        <v>10.4691709374293</v>
      </c>
      <c r="I36" s="2">
        <v>39.9892873143812</v>
      </c>
      <c r="J36" s="2">
        <v>12.3373799123136</v>
      </c>
      <c r="K36" s="2">
        <v>9.25303493423516</v>
      </c>
      <c r="L36" s="2">
        <v>6.16868995615678</v>
      </c>
      <c r="M36">
        <v>45</v>
      </c>
      <c r="N36">
        <f t="shared" si="0"/>
        <v>0.3172476041645</v>
      </c>
      <c r="O36">
        <f t="shared" si="1"/>
        <v>0.405101425232399</v>
      </c>
      <c r="P36">
        <f t="shared" si="2"/>
        <v>1.27692508915637</v>
      </c>
    </row>
    <row r="37" spans="1:16">
      <c r="A37" s="2">
        <v>8.22289840255368</v>
      </c>
      <c r="B37" s="2">
        <v>31.4091582554128</v>
      </c>
      <c r="C37" s="2">
        <v>9.32221053947131</v>
      </c>
      <c r="D37" s="2">
        <v>6.99165790460349</v>
      </c>
      <c r="E37" s="2">
        <v>4.66110526973566</v>
      </c>
      <c r="F37">
        <v>45</v>
      </c>
      <c r="H37" s="2">
        <v>10.7864185415938</v>
      </c>
      <c r="I37" s="2">
        <v>41.2010838996655</v>
      </c>
      <c r="J37" s="2">
        <v>12.7559725526269</v>
      </c>
      <c r="K37" s="2">
        <v>9.56697941447016</v>
      </c>
      <c r="L37" s="2">
        <v>6.37798627631344</v>
      </c>
      <c r="M37">
        <v>45</v>
      </c>
      <c r="N37">
        <f t="shared" si="0"/>
        <v>0.3172476041645</v>
      </c>
      <c r="O37">
        <f t="shared" si="1"/>
        <v>0.418592640313301</v>
      </c>
      <c r="P37">
        <f t="shared" si="2"/>
        <v>1.31945091095551</v>
      </c>
    </row>
    <row r="38" spans="1:16">
      <c r="A38" s="2">
        <v>8.46474835556996</v>
      </c>
      <c r="B38" s="2">
        <v>32.3329570276308</v>
      </c>
      <c r="C38" s="2">
        <v>9.64409574979581</v>
      </c>
      <c r="D38" s="2">
        <v>7.23307181234686</v>
      </c>
      <c r="E38" s="2">
        <v>4.82204787489791</v>
      </c>
      <c r="F38">
        <v>45</v>
      </c>
      <c r="H38" s="2">
        <v>11.1036661457583</v>
      </c>
      <c r="I38" s="2">
        <v>42.4128804849497</v>
      </c>
      <c r="J38" s="2">
        <v>13.1745651929402</v>
      </c>
      <c r="K38" s="2">
        <v>9.88092389470515</v>
      </c>
      <c r="L38" s="2">
        <v>6.5872825964701</v>
      </c>
      <c r="M38">
        <v>45</v>
      </c>
      <c r="N38">
        <f t="shared" si="0"/>
        <v>0.3172476041645</v>
      </c>
      <c r="O38">
        <f t="shared" si="1"/>
        <v>0.4185926403133</v>
      </c>
      <c r="P38">
        <f t="shared" si="2"/>
        <v>1.3194509109555</v>
      </c>
    </row>
    <row r="39" spans="1:16">
      <c r="A39" s="2">
        <v>8.70659830858624</v>
      </c>
      <c r="B39" s="2">
        <v>33.2567557998489</v>
      </c>
      <c r="C39" s="2">
        <v>9.9693115865531</v>
      </c>
      <c r="D39" s="2">
        <v>7.47698368991482</v>
      </c>
      <c r="E39" s="2">
        <v>4.98465579327655</v>
      </c>
      <c r="F39">
        <v>45</v>
      </c>
      <c r="H39" s="2">
        <v>11.4209137499229</v>
      </c>
      <c r="I39" s="2">
        <v>43.624677070234</v>
      </c>
      <c r="J39" s="2">
        <v>13.6059640564617</v>
      </c>
      <c r="K39" s="2">
        <v>10.2044730423463</v>
      </c>
      <c r="L39" s="2">
        <v>6.80298202823084</v>
      </c>
      <c r="M39">
        <v>45</v>
      </c>
      <c r="N39">
        <f t="shared" si="0"/>
        <v>0.317247604164599</v>
      </c>
      <c r="O39">
        <f t="shared" si="1"/>
        <v>0.431398863521499</v>
      </c>
      <c r="P39">
        <f t="shared" si="2"/>
        <v>1.3598175616093</v>
      </c>
    </row>
    <row r="40" spans="1:16">
      <c r="A40" s="2">
        <v>8.94844826160253</v>
      </c>
      <c r="B40" s="2">
        <v>34.1805545720669</v>
      </c>
      <c r="C40" s="2">
        <v>10.3002060247211</v>
      </c>
      <c r="D40" s="2">
        <v>7.72515451854082</v>
      </c>
      <c r="E40" s="2">
        <v>5.15010301236055</v>
      </c>
      <c r="F40">
        <v>45</v>
      </c>
      <c r="H40" s="2">
        <v>11.7381613540874</v>
      </c>
      <c r="I40" s="2">
        <v>44.8364736555183</v>
      </c>
      <c r="J40" s="2">
        <v>14.0451882799659</v>
      </c>
      <c r="K40" s="2">
        <v>10.5338912099744</v>
      </c>
      <c r="L40" s="2">
        <v>7.02259413998296</v>
      </c>
      <c r="M40">
        <v>45</v>
      </c>
      <c r="N40">
        <f t="shared" si="0"/>
        <v>0.3172476041645</v>
      </c>
      <c r="O40">
        <f t="shared" si="1"/>
        <v>0.439224223504201</v>
      </c>
      <c r="P40">
        <f t="shared" si="2"/>
        <v>1.38448397320742</v>
      </c>
    </row>
    <row r="41" spans="1:16">
      <c r="A41" s="2">
        <v>9.19029821461882</v>
      </c>
      <c r="B41" s="2">
        <v>35.1043533442849</v>
      </c>
      <c r="C41" s="2">
        <v>10.636439350698</v>
      </c>
      <c r="D41" s="2">
        <v>7.97732951302347</v>
      </c>
      <c r="E41" s="2">
        <v>5.31821967534898</v>
      </c>
      <c r="F41">
        <v>45</v>
      </c>
      <c r="H41" s="2">
        <v>12.0554089582519</v>
      </c>
      <c r="I41" s="2">
        <v>46.0482702408026</v>
      </c>
      <c r="J41" s="2">
        <v>14.4864584201589</v>
      </c>
      <c r="K41" s="2">
        <v>10.8648438151192</v>
      </c>
      <c r="L41" s="2">
        <v>7.24322921007945</v>
      </c>
      <c r="M41">
        <v>45</v>
      </c>
      <c r="N41">
        <f t="shared" si="0"/>
        <v>0.317247604164502</v>
      </c>
      <c r="O41">
        <f t="shared" si="1"/>
        <v>0.441270140193</v>
      </c>
      <c r="P41">
        <f t="shared" si="2"/>
        <v>1.39093293188178</v>
      </c>
    </row>
    <row r="42" spans="1:16">
      <c r="A42" s="2">
        <v>9.4321481676351</v>
      </c>
      <c r="B42" s="2">
        <v>36.0281521165029</v>
      </c>
      <c r="C42" s="2">
        <v>10.9767309744184</v>
      </c>
      <c r="D42" s="2">
        <v>8.23254823081381</v>
      </c>
      <c r="E42" s="2">
        <v>5.4883654872092</v>
      </c>
      <c r="F42">
        <v>45</v>
      </c>
      <c r="H42" s="2">
        <v>12.3726565624164</v>
      </c>
      <c r="I42" s="2">
        <v>47.2600668260868</v>
      </c>
      <c r="J42" s="2">
        <v>14.948166001396</v>
      </c>
      <c r="K42" s="2">
        <v>11.211124501047</v>
      </c>
      <c r="L42" s="2">
        <v>7.47408300069798</v>
      </c>
      <c r="M42">
        <v>45</v>
      </c>
      <c r="N42">
        <f t="shared" si="0"/>
        <v>0.3172476041645</v>
      </c>
      <c r="O42">
        <f t="shared" si="1"/>
        <v>0.4617075812371</v>
      </c>
      <c r="P42">
        <f t="shared" si="2"/>
        <v>1.45535403633086</v>
      </c>
    </row>
    <row r="43" spans="1:16">
      <c r="A43" s="2">
        <v>9.67399812065138</v>
      </c>
      <c r="B43" s="2">
        <v>36.951950888721</v>
      </c>
      <c r="C43" s="2">
        <v>11.3227485398457</v>
      </c>
      <c r="D43" s="2">
        <v>8.49206140488431</v>
      </c>
      <c r="E43" s="2">
        <v>5.66137426992287</v>
      </c>
      <c r="F43">
        <v>45</v>
      </c>
      <c r="H43" s="2">
        <v>12.689904166581</v>
      </c>
      <c r="I43" s="2">
        <v>48.4718634113711</v>
      </c>
      <c r="J43" s="2">
        <v>15.409873582633</v>
      </c>
      <c r="K43" s="2">
        <v>11.5574051869748</v>
      </c>
      <c r="L43" s="2">
        <v>7.70493679131652</v>
      </c>
      <c r="M43">
        <v>45</v>
      </c>
      <c r="N43">
        <f t="shared" si="0"/>
        <v>0.317247604164599</v>
      </c>
      <c r="O43">
        <f t="shared" si="1"/>
        <v>0.461707581237</v>
      </c>
      <c r="P43">
        <f t="shared" si="2"/>
        <v>1.45535403633009</v>
      </c>
    </row>
    <row r="44" spans="1:16">
      <c r="A44" s="2">
        <v>9.91584807366767</v>
      </c>
      <c r="B44" s="2">
        <v>37.875749660939</v>
      </c>
      <c r="C44" s="2">
        <v>11.6752609420161</v>
      </c>
      <c r="D44" s="2">
        <v>8.75644570651209</v>
      </c>
      <c r="E44" s="2">
        <v>5.83763047100806</v>
      </c>
      <c r="F44">
        <v>45</v>
      </c>
      <c r="H44" s="2">
        <v>13.0071517707455</v>
      </c>
      <c r="I44" s="2">
        <v>49.6836599966554</v>
      </c>
      <c r="J44" s="2">
        <v>15.8881451899389</v>
      </c>
      <c r="K44" s="2">
        <v>11.9161088924542</v>
      </c>
      <c r="L44" s="2">
        <v>7.94407259496946</v>
      </c>
      <c r="M44">
        <v>45</v>
      </c>
      <c r="N44">
        <f t="shared" si="0"/>
        <v>0.3172476041645</v>
      </c>
      <c r="O44">
        <f t="shared" si="1"/>
        <v>0.478271607305899</v>
      </c>
      <c r="P44">
        <f t="shared" si="2"/>
        <v>1.50756570271183</v>
      </c>
    </row>
    <row r="45" spans="1:16">
      <c r="A45" s="2">
        <v>10.157698026684</v>
      </c>
      <c r="B45" s="2">
        <v>38.799548433157</v>
      </c>
      <c r="C45" s="2">
        <v>12.0326030949594</v>
      </c>
      <c r="D45" s="2">
        <v>9.02445232121956</v>
      </c>
      <c r="E45" s="2">
        <v>6.01630154747971</v>
      </c>
      <c r="F45">
        <v>45</v>
      </c>
      <c r="H45" s="2">
        <v>13.32439937491</v>
      </c>
      <c r="I45" s="2">
        <v>50.8954565819397</v>
      </c>
      <c r="J45" s="2">
        <v>16.3740525075599</v>
      </c>
      <c r="K45" s="2">
        <v>12.2805393806699</v>
      </c>
      <c r="L45" s="2">
        <v>8.18702625377994</v>
      </c>
      <c r="M45">
        <v>45</v>
      </c>
      <c r="N45">
        <f t="shared" si="0"/>
        <v>0.3172476041645</v>
      </c>
      <c r="O45">
        <f t="shared" si="1"/>
        <v>0.485907317620999</v>
      </c>
      <c r="P45">
        <f t="shared" si="2"/>
        <v>1.53163431730455</v>
      </c>
    </row>
    <row r="46" spans="1:16">
      <c r="A46" s="2">
        <v>10.3995479797002</v>
      </c>
      <c r="B46" s="2">
        <v>39.723347205375</v>
      </c>
      <c r="C46" s="2">
        <v>12.3950744805382</v>
      </c>
      <c r="D46" s="2">
        <v>9.29630586040364</v>
      </c>
      <c r="E46" s="2">
        <v>6.19753724026909</v>
      </c>
      <c r="F46">
        <v>45</v>
      </c>
      <c r="H46" s="2">
        <v>13.6416469790745</v>
      </c>
      <c r="I46" s="2">
        <v>52.107253167224</v>
      </c>
      <c r="J46" s="2">
        <v>16.8702255378251</v>
      </c>
      <c r="K46" s="2">
        <v>12.6526691533688</v>
      </c>
      <c r="L46" s="2">
        <v>8.43511276891256</v>
      </c>
      <c r="M46">
        <v>45</v>
      </c>
      <c r="N46">
        <f t="shared" si="0"/>
        <v>0.3172476041645</v>
      </c>
      <c r="O46">
        <f t="shared" si="1"/>
        <v>0.496173030265201</v>
      </c>
      <c r="P46">
        <f t="shared" si="2"/>
        <v>1.56399299396419</v>
      </c>
    </row>
    <row r="47" spans="1:16">
      <c r="A47" s="2">
        <v>10.6413979327165</v>
      </c>
      <c r="B47" s="2">
        <v>40.6471459775931</v>
      </c>
      <c r="C47" s="2">
        <v>12.7653492395302</v>
      </c>
      <c r="D47" s="2">
        <v>9.57401192964764</v>
      </c>
      <c r="E47" s="2">
        <v>6.38267461976509</v>
      </c>
      <c r="F47">
        <v>45</v>
      </c>
      <c r="H47" s="2">
        <v>13.958894583239</v>
      </c>
      <c r="I47" s="2">
        <v>53.3190497525082</v>
      </c>
      <c r="J47" s="2">
        <v>17.3819391743701</v>
      </c>
      <c r="K47" s="2">
        <v>13.0364543807776</v>
      </c>
      <c r="L47" s="2">
        <v>8.69096958718504</v>
      </c>
      <c r="M47">
        <v>45</v>
      </c>
      <c r="N47">
        <f t="shared" si="0"/>
        <v>0.3172476041645</v>
      </c>
      <c r="O47">
        <f t="shared" si="1"/>
        <v>0.511713636545</v>
      </c>
      <c r="P47">
        <f t="shared" si="2"/>
        <v>1.61297872648288</v>
      </c>
    </row>
    <row r="48" spans="1:16">
      <c r="A48" s="2">
        <v>10.8832478857328</v>
      </c>
      <c r="B48" s="2">
        <v>41.5709447498111</v>
      </c>
      <c r="C48" s="2">
        <v>13.1417241270271</v>
      </c>
      <c r="D48" s="2">
        <v>9.85629309527034</v>
      </c>
      <c r="E48" s="2">
        <v>6.57086206351356</v>
      </c>
      <c r="F48">
        <v>45</v>
      </c>
      <c r="H48" s="2">
        <v>14.2761421874036</v>
      </c>
      <c r="I48" s="2">
        <v>54.5308463377925</v>
      </c>
      <c r="J48" s="2">
        <v>17.8998400738149</v>
      </c>
      <c r="K48" s="2">
        <v>13.4248800553612</v>
      </c>
      <c r="L48" s="2">
        <v>8.94992003690746</v>
      </c>
      <c r="M48">
        <v>45</v>
      </c>
      <c r="N48">
        <f t="shared" si="0"/>
        <v>0.317247604164601</v>
      </c>
      <c r="O48">
        <f t="shared" si="1"/>
        <v>0.5179008994448</v>
      </c>
      <c r="P48">
        <f t="shared" si="2"/>
        <v>1.6324816725049</v>
      </c>
    </row>
    <row r="49" spans="1:16">
      <c r="A49" s="2">
        <v>11.1250978387491</v>
      </c>
      <c r="B49" s="2">
        <v>42.4947435220291</v>
      </c>
      <c r="C49" s="2">
        <v>13.5240352190521</v>
      </c>
      <c r="D49" s="2">
        <v>10.1430264142891</v>
      </c>
      <c r="E49" s="2">
        <v>6.76201760952604</v>
      </c>
      <c r="F49">
        <v>45</v>
      </c>
      <c r="H49" s="2">
        <v>14.5933897915681</v>
      </c>
      <c r="I49" s="2">
        <v>55.7426429230768</v>
      </c>
      <c r="J49" s="2">
        <v>18.438877170065</v>
      </c>
      <c r="K49" s="2">
        <v>13.8291578775488</v>
      </c>
      <c r="L49" s="2">
        <v>9.21943858503251</v>
      </c>
      <c r="M49">
        <v>45</v>
      </c>
      <c r="N49">
        <f t="shared" si="0"/>
        <v>0.3172476041645</v>
      </c>
      <c r="O49">
        <f t="shared" si="1"/>
        <v>0.539037096250098</v>
      </c>
      <c r="P49">
        <f t="shared" si="2"/>
        <v>1.69910533341836</v>
      </c>
    </row>
    <row r="50" spans="1:16">
      <c r="A50" s="2">
        <v>11.3669477917654</v>
      </c>
      <c r="B50" s="2">
        <v>43.4185422942471</v>
      </c>
      <c r="C50" s="2">
        <v>13.912603899542</v>
      </c>
      <c r="D50" s="2">
        <v>10.4344529246565</v>
      </c>
      <c r="E50" s="2">
        <v>6.95630194977099</v>
      </c>
      <c r="F50">
        <v>45</v>
      </c>
      <c r="H50" s="2">
        <v>14.9106373957326</v>
      </c>
      <c r="I50" s="2">
        <v>56.9544395083611</v>
      </c>
      <c r="J50" s="2">
        <v>18.9826654481305</v>
      </c>
      <c r="K50" s="2">
        <v>14.2369990860979</v>
      </c>
      <c r="L50" s="2">
        <v>9.49133272406526</v>
      </c>
      <c r="M50">
        <v>45</v>
      </c>
      <c r="N50">
        <f t="shared" si="0"/>
        <v>0.3172476041645</v>
      </c>
      <c r="O50">
        <f t="shared" si="1"/>
        <v>0.543788278065502</v>
      </c>
      <c r="P50">
        <f t="shared" si="2"/>
        <v>1.71408159093153</v>
      </c>
    </row>
    <row r="51" spans="1:16">
      <c r="A51" s="2">
        <v>11.6087977447817</v>
      </c>
      <c r="B51" s="2">
        <v>44.3423410664652</v>
      </c>
      <c r="C51" s="2">
        <v>14.3087685327133</v>
      </c>
      <c r="D51" s="2">
        <v>10.731576399535</v>
      </c>
      <c r="E51" s="2">
        <v>7.15438426635664</v>
      </c>
      <c r="F51">
        <v>45</v>
      </c>
      <c r="H51" s="2">
        <v>15.2278849998971</v>
      </c>
      <c r="I51" s="2">
        <v>58.1662360936454</v>
      </c>
      <c r="J51" s="2">
        <v>19.5504703331122</v>
      </c>
      <c r="K51" s="2">
        <v>14.6628527498341</v>
      </c>
      <c r="L51" s="2">
        <v>9.77523516655608</v>
      </c>
      <c r="M51">
        <v>45</v>
      </c>
      <c r="N51">
        <f t="shared" si="0"/>
        <v>0.3172476041645</v>
      </c>
      <c r="O51">
        <f t="shared" si="1"/>
        <v>0.567804884981701</v>
      </c>
      <c r="P51">
        <f t="shared" si="2"/>
        <v>1.78978462730102</v>
      </c>
    </row>
    <row r="52" spans="1:16">
      <c r="A52" s="2">
        <v>11.8506476977979</v>
      </c>
      <c r="B52" s="2">
        <v>45.2661398386832</v>
      </c>
      <c r="C52" s="2">
        <v>14.7128704722387</v>
      </c>
      <c r="D52" s="2">
        <v>11.034652854179</v>
      </c>
      <c r="E52" s="2">
        <v>7.35643523611934</v>
      </c>
      <c r="F52">
        <v>45</v>
      </c>
      <c r="H52" s="2">
        <v>15.5451326040617</v>
      </c>
      <c r="I52" s="2">
        <v>59.3780326789296</v>
      </c>
      <c r="J52" s="2">
        <v>20.1245562159937</v>
      </c>
      <c r="K52" s="2">
        <v>15.0934171619953</v>
      </c>
      <c r="L52" s="2">
        <v>10.0622781079969</v>
      </c>
      <c r="M52">
        <v>45</v>
      </c>
      <c r="N52">
        <f t="shared" si="0"/>
        <v>0.317247604164601</v>
      </c>
      <c r="O52">
        <f t="shared" si="1"/>
        <v>0.574085882881498</v>
      </c>
      <c r="P52">
        <f t="shared" si="2"/>
        <v>1.80958303654718</v>
      </c>
    </row>
    <row r="53" spans="1:16">
      <c r="A53" s="2">
        <v>12.0924976508142</v>
      </c>
      <c r="B53" s="2">
        <v>46.1899386109012</v>
      </c>
      <c r="C53" s="2">
        <v>15.1240328275584</v>
      </c>
      <c r="D53" s="2">
        <v>11.3430246206688</v>
      </c>
      <c r="E53" s="2">
        <v>7.56201641377919</v>
      </c>
      <c r="F53">
        <v>45</v>
      </c>
      <c r="H53" s="2">
        <v>15.8623802082262</v>
      </c>
      <c r="I53" s="2">
        <v>60.5898292642139</v>
      </c>
      <c r="J53" s="2">
        <v>20.7225143431136</v>
      </c>
      <c r="K53" s="2">
        <v>15.5418857573352</v>
      </c>
      <c r="L53" s="2">
        <v>10.3612571715568</v>
      </c>
      <c r="M53">
        <v>45</v>
      </c>
      <c r="N53">
        <f t="shared" si="0"/>
        <v>0.3172476041645</v>
      </c>
      <c r="O53">
        <f t="shared" si="1"/>
        <v>0.597958127119899</v>
      </c>
      <c r="P53">
        <f t="shared" si="2"/>
        <v>1.88483102557914</v>
      </c>
    </row>
    <row r="54" spans="1:16">
      <c r="A54" s="2">
        <v>12.3343476038305</v>
      </c>
      <c r="B54" s="2">
        <v>47.1137373831192</v>
      </c>
      <c r="C54" s="2">
        <v>15.5425800866339</v>
      </c>
      <c r="D54" s="2">
        <v>11.6569350649754</v>
      </c>
      <c r="E54" s="2">
        <v>7.77129004331695</v>
      </c>
      <c r="F54">
        <v>45</v>
      </c>
      <c r="H54" s="2">
        <v>16.1796278123907</v>
      </c>
      <c r="I54" s="2">
        <v>61.8016258494982</v>
      </c>
      <c r="J54" s="2">
        <v>21.3314985885938</v>
      </c>
      <c r="K54" s="2">
        <v>15.9986239414453</v>
      </c>
      <c r="L54" s="2">
        <v>10.6657492942969</v>
      </c>
      <c r="M54">
        <v>45</v>
      </c>
      <c r="N54">
        <f t="shared" si="0"/>
        <v>0.317247604164498</v>
      </c>
      <c r="O54">
        <f t="shared" si="1"/>
        <v>0.608984245480201</v>
      </c>
      <c r="P54">
        <f t="shared" si="2"/>
        <v>1.91958658626917</v>
      </c>
    </row>
    <row r="55" spans="1:16">
      <c r="A55" s="2">
        <v>12.5761975568468</v>
      </c>
      <c r="B55" s="2">
        <v>48.0375361553373</v>
      </c>
      <c r="C55" s="2">
        <v>15.968837154498</v>
      </c>
      <c r="D55" s="2">
        <v>11.9766278658735</v>
      </c>
      <c r="E55" s="2">
        <v>7.98441857724898</v>
      </c>
      <c r="F55">
        <v>45</v>
      </c>
      <c r="H55" s="2">
        <v>16.4968754165552</v>
      </c>
      <c r="I55" s="2">
        <v>63.0134224347825</v>
      </c>
      <c r="J55" s="2">
        <v>21.9609484728928</v>
      </c>
      <c r="K55" s="2">
        <v>16.4707113546696</v>
      </c>
      <c r="L55" s="2">
        <v>10.9804742364464</v>
      </c>
      <c r="M55">
        <v>45</v>
      </c>
      <c r="N55">
        <f t="shared" si="0"/>
        <v>0.3172476041645</v>
      </c>
      <c r="O55">
        <f t="shared" si="1"/>
        <v>0.629449884299</v>
      </c>
      <c r="P55">
        <f t="shared" si="2"/>
        <v>1.984096573264</v>
      </c>
    </row>
    <row r="56" spans="1:16">
      <c r="A56" s="2">
        <v>12.8180475098631</v>
      </c>
      <c r="B56" s="2">
        <v>48.9613349275553</v>
      </c>
      <c r="C56" s="2">
        <v>16.4031278184592</v>
      </c>
      <c r="D56" s="2">
        <v>12.3023458638444</v>
      </c>
      <c r="E56" s="2">
        <v>8.20156390922961</v>
      </c>
      <c r="F56">
        <v>45</v>
      </c>
      <c r="H56" s="2">
        <v>16.8141230207198</v>
      </c>
      <c r="I56" s="2">
        <v>64.2252190200668</v>
      </c>
      <c r="J56" s="2">
        <v>22.6095799796705</v>
      </c>
      <c r="K56" s="2">
        <v>16.9571849847529</v>
      </c>
      <c r="L56" s="2">
        <v>11.3047899898353</v>
      </c>
      <c r="M56">
        <v>45</v>
      </c>
      <c r="N56">
        <f t="shared" si="0"/>
        <v>0.317247604164603</v>
      </c>
      <c r="O56">
        <f t="shared" si="1"/>
        <v>0.648631506777701</v>
      </c>
      <c r="P56">
        <f t="shared" si="2"/>
        <v>2.04455919686366</v>
      </c>
    </row>
    <row r="57" spans="1:16">
      <c r="A57" s="2">
        <v>13.0598974628794</v>
      </c>
      <c r="B57" s="2">
        <v>49.8851336997733</v>
      </c>
      <c r="C57" s="2">
        <v>16.8457733737227</v>
      </c>
      <c r="D57" s="2">
        <v>12.634330030292</v>
      </c>
      <c r="E57" s="2">
        <v>8.42288668686134</v>
      </c>
      <c r="F57">
        <v>45</v>
      </c>
      <c r="H57" s="2">
        <v>17.1313706248843</v>
      </c>
      <c r="I57" s="2">
        <v>65.437015605351</v>
      </c>
      <c r="J57" s="2">
        <v>23.2718235974657</v>
      </c>
      <c r="K57" s="2">
        <v>17.4538676980993</v>
      </c>
      <c r="L57" s="2">
        <v>11.6359117987328</v>
      </c>
      <c r="M57">
        <v>45</v>
      </c>
      <c r="N57">
        <f t="shared" si="0"/>
        <v>0.3172476041645</v>
      </c>
      <c r="O57">
        <f t="shared" si="1"/>
        <v>0.662243617795202</v>
      </c>
      <c r="P57">
        <f t="shared" si="2"/>
        <v>2.08746609620356</v>
      </c>
    </row>
    <row r="58" spans="1:16">
      <c r="A58" s="2">
        <v>13.3017474158957</v>
      </c>
      <c r="B58" s="2">
        <v>50.8089324719913</v>
      </c>
      <c r="C58" s="2">
        <v>17.2976407285447</v>
      </c>
      <c r="D58" s="2">
        <v>12.9732305464086</v>
      </c>
      <c r="E58" s="2">
        <v>8.64882036427237</v>
      </c>
      <c r="F58">
        <v>45</v>
      </c>
      <c r="H58" s="2">
        <v>17.4486182290488</v>
      </c>
      <c r="I58" s="2">
        <v>66.6488121906353</v>
      </c>
      <c r="J58" s="2">
        <v>23.9649712494832</v>
      </c>
      <c r="K58" s="2">
        <v>17.9737284371124</v>
      </c>
      <c r="L58" s="2">
        <v>11.9824856247416</v>
      </c>
      <c r="M58">
        <v>45</v>
      </c>
      <c r="N58">
        <f t="shared" si="0"/>
        <v>0.3172476041645</v>
      </c>
      <c r="O58">
        <f t="shared" si="1"/>
        <v>0.693147652017498</v>
      </c>
      <c r="P58">
        <f t="shared" si="2"/>
        <v>2.18487907526667</v>
      </c>
    </row>
    <row r="59" spans="1:16">
      <c r="A59" s="2">
        <v>13.5435973689119</v>
      </c>
      <c r="B59" s="2">
        <v>51.7327312442094</v>
      </c>
      <c r="C59" s="2">
        <v>17.7586582977744</v>
      </c>
      <c r="D59" s="2">
        <v>13.3189937233308</v>
      </c>
      <c r="E59" s="2">
        <v>8.87932914888721</v>
      </c>
      <c r="F59">
        <v>45</v>
      </c>
      <c r="H59" s="2">
        <v>17.7658658332133</v>
      </c>
      <c r="I59" s="2">
        <v>67.8606087759196</v>
      </c>
      <c r="J59" s="2">
        <v>24.6722833421686</v>
      </c>
      <c r="K59" s="2">
        <v>18.5042125066264</v>
      </c>
      <c r="L59" s="2">
        <v>12.3361416710843</v>
      </c>
      <c r="M59">
        <v>45</v>
      </c>
      <c r="N59">
        <f t="shared" si="0"/>
        <v>0.3172476041645</v>
      </c>
      <c r="O59">
        <f t="shared" si="1"/>
        <v>0.707312092685402</v>
      </c>
      <c r="P59">
        <f t="shared" si="2"/>
        <v>2.22952697955962</v>
      </c>
    </row>
    <row r="60" spans="1:16">
      <c r="A60" s="2">
        <v>13.7854473219282</v>
      </c>
      <c r="B60" s="2">
        <v>52.6565300164274</v>
      </c>
      <c r="C60" s="2">
        <v>18.228760523512</v>
      </c>
      <c r="D60" s="2">
        <v>13.671570392634</v>
      </c>
      <c r="E60" s="2">
        <v>9.11438026175598</v>
      </c>
      <c r="F60">
        <v>45</v>
      </c>
      <c r="H60" s="2">
        <v>18.0831134373779</v>
      </c>
      <c r="I60" s="2">
        <v>69.0724053612039</v>
      </c>
      <c r="J60" s="2">
        <v>25.4039189247139</v>
      </c>
      <c r="K60" s="2">
        <v>19.0529391935354</v>
      </c>
      <c r="L60" s="2">
        <v>12.701959462357</v>
      </c>
      <c r="M60">
        <v>45</v>
      </c>
      <c r="N60">
        <f t="shared" si="0"/>
        <v>0.317247604164599</v>
      </c>
      <c r="O60">
        <f t="shared" si="1"/>
        <v>0.731635582545298</v>
      </c>
      <c r="P60">
        <f t="shared" si="2"/>
        <v>2.3061973453571</v>
      </c>
    </row>
    <row r="61" spans="1:16">
      <c r="A61" s="2">
        <v>14.0272972749445</v>
      </c>
      <c r="B61" s="2">
        <v>53.5803287886454</v>
      </c>
      <c r="C61" s="2">
        <v>18.7082475421391</v>
      </c>
      <c r="D61" s="2">
        <v>14.0311856566043</v>
      </c>
      <c r="E61" s="2">
        <v>9.35412377106954</v>
      </c>
      <c r="F61">
        <v>45</v>
      </c>
      <c r="H61" s="2">
        <v>18.4003610415424</v>
      </c>
      <c r="I61" s="2">
        <v>70.2842019464881</v>
      </c>
      <c r="J61" s="2">
        <v>26.1645425593896</v>
      </c>
      <c r="K61" s="2">
        <v>19.6234069195422</v>
      </c>
      <c r="L61" s="2">
        <v>13.0822712796948</v>
      </c>
      <c r="M61">
        <v>45</v>
      </c>
      <c r="N61">
        <f t="shared" si="0"/>
        <v>0.3172476041645</v>
      </c>
      <c r="O61">
        <f t="shared" si="1"/>
        <v>0.760623634675699</v>
      </c>
      <c r="P61">
        <f t="shared" si="2"/>
        <v>2.39757093415684</v>
      </c>
    </row>
    <row r="62" spans="1:16">
      <c r="A62" s="2">
        <v>14.2691472279608</v>
      </c>
      <c r="B62" s="2">
        <v>54.5041275608634</v>
      </c>
      <c r="C62" s="2">
        <v>19.1974129573895</v>
      </c>
      <c r="D62" s="2">
        <v>14.3980597180421</v>
      </c>
      <c r="E62" s="2">
        <v>9.59870647869473</v>
      </c>
      <c r="F62">
        <v>45</v>
      </c>
      <c r="H62" s="2">
        <v>18.7176086457069</v>
      </c>
      <c r="I62" s="2">
        <v>71.4959985317724</v>
      </c>
      <c r="J62" s="2">
        <v>26.9458388614199</v>
      </c>
      <c r="K62" s="2">
        <v>20.2093791460649</v>
      </c>
      <c r="L62" s="2">
        <v>13.4729194307099</v>
      </c>
      <c r="M62">
        <v>45</v>
      </c>
      <c r="N62">
        <f t="shared" si="0"/>
        <v>0.3172476041645</v>
      </c>
      <c r="O62">
        <f t="shared" si="1"/>
        <v>0.781296302030302</v>
      </c>
      <c r="P62">
        <f t="shared" si="2"/>
        <v>2.46273349829675</v>
      </c>
    </row>
    <row r="63" spans="1:16">
      <c r="A63" s="2">
        <v>14.5109971809771</v>
      </c>
      <c r="B63" s="2">
        <v>55.4279263330814</v>
      </c>
      <c r="C63" s="2">
        <v>19.6965430270212</v>
      </c>
      <c r="D63" s="2">
        <v>14.7724072702659</v>
      </c>
      <c r="E63" s="2">
        <v>9.84827151351058</v>
      </c>
      <c r="F63">
        <v>45</v>
      </c>
      <c r="H63" s="2">
        <v>19.0348562498714</v>
      </c>
      <c r="I63" s="2">
        <v>72.7077951170567</v>
      </c>
      <c r="J63" s="2">
        <v>27.751845134554</v>
      </c>
      <c r="K63" s="2">
        <v>20.8138838509155</v>
      </c>
      <c r="L63" s="2">
        <v>13.875922567277</v>
      </c>
      <c r="M63">
        <v>45</v>
      </c>
      <c r="N63">
        <f t="shared" si="0"/>
        <v>0.3172476041645</v>
      </c>
      <c r="O63">
        <f t="shared" si="1"/>
        <v>0.806006273134098</v>
      </c>
      <c r="P63">
        <f t="shared" si="2"/>
        <v>2.54062209628592</v>
      </c>
    </row>
    <row r="64" spans="1:16">
      <c r="A64" s="2">
        <v>14.7528471339934</v>
      </c>
      <c r="B64" s="2">
        <v>56.3517251052995</v>
      </c>
      <c r="C64" s="2">
        <v>20.2059159280758</v>
      </c>
      <c r="D64" s="2">
        <v>15.1544369460569</v>
      </c>
      <c r="E64" s="2">
        <v>10.1029579640379</v>
      </c>
      <c r="F64">
        <v>45</v>
      </c>
      <c r="H64" s="2">
        <v>19.352103854036</v>
      </c>
      <c r="I64" s="2">
        <v>73.919591702341</v>
      </c>
      <c r="J64" s="2">
        <v>28.5956355991265</v>
      </c>
      <c r="K64" s="2">
        <v>21.4467266993449</v>
      </c>
      <c r="L64" s="2">
        <v>14.2978177995633</v>
      </c>
      <c r="M64">
        <v>45</v>
      </c>
      <c r="N64">
        <f t="shared" si="0"/>
        <v>0.317247604164599</v>
      </c>
      <c r="O64">
        <f t="shared" si="1"/>
        <v>0.8437904645725</v>
      </c>
      <c r="P64">
        <f t="shared" si="2"/>
        <v>2.65972210190344</v>
      </c>
    </row>
    <row r="65" spans="1:16">
      <c r="A65" s="2">
        <v>14.9946970870096</v>
      </c>
      <c r="B65" s="2">
        <v>57.2755238775175</v>
      </c>
      <c r="C65" s="2">
        <v>20.7258010897727</v>
      </c>
      <c r="D65" s="2">
        <v>15.5443508173295</v>
      </c>
      <c r="E65" s="2">
        <v>10.3629005448863</v>
      </c>
      <c r="F65">
        <v>45</v>
      </c>
      <c r="H65" s="2">
        <v>19.6693514582005</v>
      </c>
      <c r="I65" s="2">
        <v>75.1313882876252</v>
      </c>
      <c r="J65" s="2">
        <v>29.4669840001215</v>
      </c>
      <c r="K65" s="2">
        <v>22.1002380000911</v>
      </c>
      <c r="L65" s="2">
        <v>14.7334920000607</v>
      </c>
      <c r="M65">
        <v>45</v>
      </c>
      <c r="N65">
        <f t="shared" si="0"/>
        <v>0.3172476041645</v>
      </c>
      <c r="O65">
        <f t="shared" si="1"/>
        <v>0.871348400995</v>
      </c>
      <c r="P65">
        <f t="shared" si="2"/>
        <v>2.74658780572914</v>
      </c>
    </row>
    <row r="66" spans="1:16">
      <c r="A66" s="2">
        <v>15.2365470400259</v>
      </c>
      <c r="B66" s="2">
        <v>58.1993226497355</v>
      </c>
      <c r="C66" s="2">
        <v>21.2564585835535</v>
      </c>
      <c r="D66" s="2">
        <v>15.9423439376651</v>
      </c>
      <c r="E66" s="2">
        <v>10.6282292917768</v>
      </c>
      <c r="F66">
        <v>45</v>
      </c>
      <c r="H66" s="2">
        <v>19.986599062365</v>
      </c>
      <c r="I66" s="2">
        <v>76.3431848729095</v>
      </c>
      <c r="J66" s="2">
        <v>30.3688358832958</v>
      </c>
      <c r="K66" s="2">
        <v>22.7766269124719</v>
      </c>
      <c r="L66" s="2">
        <v>15.1844179416479</v>
      </c>
      <c r="M66">
        <v>45</v>
      </c>
      <c r="N66">
        <f t="shared" si="0"/>
        <v>0.3172476041645</v>
      </c>
      <c r="O66">
        <f t="shared" si="1"/>
        <v>0.901851883174302</v>
      </c>
      <c r="P66">
        <f t="shared" si="2"/>
        <v>2.84273819986572</v>
      </c>
    </row>
    <row r="67" spans="1:16">
      <c r="A67" s="2">
        <v>15.4783969930422</v>
      </c>
      <c r="B67" s="2">
        <v>59.1231214219535</v>
      </c>
      <c r="C67" s="2">
        <v>21.7985276733915</v>
      </c>
      <c r="D67" s="2">
        <v>16.3488957550436</v>
      </c>
      <c r="E67" s="2">
        <v>10.8992638366957</v>
      </c>
      <c r="F67">
        <v>45</v>
      </c>
      <c r="H67" s="2">
        <v>20.3038466665295</v>
      </c>
      <c r="I67" s="2">
        <v>77.5549814581938</v>
      </c>
      <c r="J67" s="2">
        <v>31.3042087676944</v>
      </c>
      <c r="K67" s="2">
        <v>23.4781565757708</v>
      </c>
      <c r="L67" s="2">
        <v>15.6521043838472</v>
      </c>
      <c r="M67">
        <v>45</v>
      </c>
      <c r="N67">
        <f t="shared" si="0"/>
        <v>0.3172476041645</v>
      </c>
      <c r="O67">
        <f t="shared" si="1"/>
        <v>0.9353728843986</v>
      </c>
      <c r="P67">
        <f t="shared" si="2"/>
        <v>2.94840015218393</v>
      </c>
    </row>
    <row r="68" spans="1:16">
      <c r="A68" s="2">
        <v>15.7202469460585</v>
      </c>
      <c r="B68" s="2">
        <v>60.0469201941716</v>
      </c>
      <c r="C68" s="2">
        <v>22.352556130472</v>
      </c>
      <c r="D68" s="2">
        <v>16.764417097854</v>
      </c>
      <c r="E68" s="2">
        <v>11.176278065236</v>
      </c>
      <c r="F68">
        <v>45</v>
      </c>
      <c r="H68" s="2">
        <v>20.621094270694</v>
      </c>
      <c r="I68" s="2">
        <v>78.7667780434781</v>
      </c>
      <c r="J68" s="2">
        <v>32.2761884376822</v>
      </c>
      <c r="K68" s="2">
        <v>24.2071413282617</v>
      </c>
      <c r="L68" s="2">
        <v>16.1380942188411</v>
      </c>
      <c r="M68">
        <v>45</v>
      </c>
      <c r="N68">
        <f t="shared" ref="N68:N102" si="3">H68-H67</f>
        <v>0.317247604164503</v>
      </c>
      <c r="O68">
        <f t="shared" ref="O68:O102" si="4">J68-J67</f>
        <v>0.9719796699878</v>
      </c>
      <c r="P68">
        <f t="shared" ref="P68:P102" si="5">O68/N68</f>
        <v>3.06378884262211</v>
      </c>
    </row>
    <row r="69" spans="1:16">
      <c r="A69" s="2">
        <v>15.9620968990748</v>
      </c>
      <c r="B69" s="2">
        <v>60.9707189663896</v>
      </c>
      <c r="C69" s="2">
        <v>22.9182558878224</v>
      </c>
      <c r="D69" s="2">
        <v>17.1886919158668</v>
      </c>
      <c r="E69" s="2">
        <v>11.4591279439112</v>
      </c>
      <c r="F69">
        <v>45</v>
      </c>
      <c r="H69" s="2">
        <v>20.9383418748586</v>
      </c>
      <c r="I69" s="2">
        <v>79.9785746287624</v>
      </c>
      <c r="J69" s="2">
        <v>33.2898693947907</v>
      </c>
      <c r="K69" s="2">
        <v>24.967402046093</v>
      </c>
      <c r="L69" s="2">
        <v>16.6449346973953</v>
      </c>
      <c r="M69">
        <v>45</v>
      </c>
      <c r="N69">
        <f t="shared" si="3"/>
        <v>0.317247604164599</v>
      </c>
      <c r="O69">
        <f t="shared" si="4"/>
        <v>1.0136809571085</v>
      </c>
      <c r="P69">
        <f t="shared" si="5"/>
        <v>3.19523597279103</v>
      </c>
    </row>
    <row r="70" spans="1:16">
      <c r="A70" s="2">
        <v>16.2039468520911</v>
      </c>
      <c r="B70" s="2">
        <v>61.8945177386076</v>
      </c>
      <c r="C70" s="2">
        <v>23.4958382722743</v>
      </c>
      <c r="D70" s="2">
        <v>17.6218787042057</v>
      </c>
      <c r="E70" s="2">
        <v>11.7479191361372</v>
      </c>
      <c r="F70">
        <v>45</v>
      </c>
      <c r="H70" s="2">
        <v>21.2555894790231</v>
      </c>
      <c r="I70" s="2">
        <v>81.1903712140466</v>
      </c>
      <c r="J70" s="2">
        <v>34.3469272211881</v>
      </c>
      <c r="K70" s="2">
        <v>25.7601954158911</v>
      </c>
      <c r="L70" s="2">
        <v>17.173463610594</v>
      </c>
      <c r="M70">
        <v>45</v>
      </c>
      <c r="N70">
        <f t="shared" si="3"/>
        <v>0.3172476041645</v>
      </c>
      <c r="O70">
        <f t="shared" si="4"/>
        <v>1.0570578263974</v>
      </c>
      <c r="P70">
        <f t="shared" si="5"/>
        <v>3.33196472572665</v>
      </c>
    </row>
    <row r="71" spans="1:16">
      <c r="A71" s="2">
        <v>16.4457968051074</v>
      </c>
      <c r="B71" s="2">
        <v>62.8183165108256</v>
      </c>
      <c r="C71" s="2">
        <v>24.0855022515828</v>
      </c>
      <c r="D71" s="2">
        <v>18.0641266886871</v>
      </c>
      <c r="E71" s="2">
        <v>12.0427511257914</v>
      </c>
      <c r="F71">
        <v>45</v>
      </c>
      <c r="H71" s="2">
        <v>21.5728370831876</v>
      </c>
      <c r="I71" s="2">
        <v>82.4021677993309</v>
      </c>
      <c r="J71" s="2">
        <v>35.4482386105591</v>
      </c>
      <c r="K71" s="2">
        <v>26.5861789579193</v>
      </c>
      <c r="L71" s="2">
        <v>17.7241193052796</v>
      </c>
      <c r="M71">
        <v>45</v>
      </c>
      <c r="N71">
        <f t="shared" si="3"/>
        <v>0.3172476041645</v>
      </c>
      <c r="O71">
        <f t="shared" si="4"/>
        <v>1.101311389371</v>
      </c>
      <c r="P71">
        <f t="shared" si="5"/>
        <v>3.4714569154002</v>
      </c>
    </row>
    <row r="72" spans="1:16">
      <c r="A72" s="2">
        <v>16.6876467581236</v>
      </c>
      <c r="B72" s="2">
        <v>63.7421152830437</v>
      </c>
      <c r="C72" s="2">
        <v>24.6874339727415</v>
      </c>
      <c r="D72" s="2">
        <v>18.5155754795561</v>
      </c>
      <c r="E72" s="2">
        <v>12.3437169863707</v>
      </c>
      <c r="F72">
        <v>45</v>
      </c>
      <c r="H72" s="2">
        <v>21.8900846873521</v>
      </c>
      <c r="I72" s="2">
        <v>83.6139643846152</v>
      </c>
      <c r="J72" s="2">
        <v>36.5970810869963</v>
      </c>
      <c r="K72" s="2">
        <v>27.4478108152472</v>
      </c>
      <c r="L72" s="2">
        <v>18.2985405434982</v>
      </c>
      <c r="M72">
        <v>45</v>
      </c>
      <c r="N72">
        <f t="shared" si="3"/>
        <v>0.3172476041645</v>
      </c>
      <c r="O72">
        <f t="shared" si="4"/>
        <v>1.1488424764372</v>
      </c>
      <c r="P72">
        <f t="shared" si="5"/>
        <v>3.62128022830236</v>
      </c>
    </row>
    <row r="73" spans="1:16">
      <c r="A73" s="2">
        <v>16.9294967111399</v>
      </c>
      <c r="B73" s="2">
        <v>64.6659140552617</v>
      </c>
      <c r="C73" s="2">
        <v>25.3028230610146</v>
      </c>
      <c r="D73" s="2">
        <v>18.9771172957609</v>
      </c>
      <c r="E73" s="2">
        <v>12.6514115305073</v>
      </c>
      <c r="F73">
        <v>45</v>
      </c>
      <c r="H73" s="2">
        <v>22.2073322915167</v>
      </c>
      <c r="I73" s="2">
        <v>84.8257609698995</v>
      </c>
      <c r="J73" s="2">
        <v>37.7975783503048</v>
      </c>
      <c r="K73" s="2">
        <v>28.3481837627286</v>
      </c>
      <c r="L73" s="2">
        <v>18.8987891751524</v>
      </c>
      <c r="M73">
        <v>45</v>
      </c>
      <c r="N73">
        <f t="shared" si="3"/>
        <v>0.317247604164599</v>
      </c>
      <c r="O73">
        <f t="shared" si="4"/>
        <v>1.20049726330851</v>
      </c>
      <c r="P73">
        <f t="shared" si="5"/>
        <v>3.78410190510263</v>
      </c>
    </row>
    <row r="74" spans="1:16">
      <c r="A74" s="2">
        <v>17.1713466641562</v>
      </c>
      <c r="B74" s="2">
        <v>65.5897128274797</v>
      </c>
      <c r="C74" s="2">
        <v>25.9320007005486</v>
      </c>
      <c r="D74" s="2">
        <v>19.4490005254114</v>
      </c>
      <c r="E74" s="2">
        <v>12.9660003502743</v>
      </c>
      <c r="F74">
        <v>45</v>
      </c>
      <c r="H74" s="2">
        <v>22.5245798956812</v>
      </c>
      <c r="I74" s="2">
        <v>86.0375575551838</v>
      </c>
      <c r="J74" s="2">
        <v>39.0573845495444</v>
      </c>
      <c r="K74" s="2">
        <v>29.2930384121583</v>
      </c>
      <c r="L74" s="2">
        <v>19.5286922747722</v>
      </c>
      <c r="M74">
        <v>45</v>
      </c>
      <c r="N74">
        <f t="shared" si="3"/>
        <v>0.3172476041645</v>
      </c>
      <c r="O74">
        <f t="shared" si="4"/>
        <v>1.2598061992396</v>
      </c>
      <c r="P74">
        <f t="shared" si="5"/>
        <v>3.97105031748754</v>
      </c>
    </row>
    <row r="75" spans="1:16">
      <c r="A75" s="2">
        <v>17.4131966171725</v>
      </c>
      <c r="B75" s="2">
        <v>66.5135115996977</v>
      </c>
      <c r="C75" s="2">
        <v>26.5740576968856</v>
      </c>
      <c r="D75" s="2">
        <v>19.9305432726642</v>
      </c>
      <c r="E75" s="2">
        <v>13.2870288484428</v>
      </c>
      <c r="F75">
        <v>45</v>
      </c>
      <c r="H75" s="2">
        <v>22.8418274998457</v>
      </c>
      <c r="I75" s="2">
        <v>87.249354140468</v>
      </c>
      <c r="J75" s="2">
        <v>40.376954387319</v>
      </c>
      <c r="K75" s="2">
        <v>30.2827157904893</v>
      </c>
      <c r="L75" s="2">
        <v>20.1884771936595</v>
      </c>
      <c r="M75">
        <v>45</v>
      </c>
      <c r="N75">
        <f t="shared" si="3"/>
        <v>0.3172476041645</v>
      </c>
      <c r="O75">
        <f t="shared" si="4"/>
        <v>1.3195698377746</v>
      </c>
      <c r="P75">
        <f t="shared" si="5"/>
        <v>4.15943200343406</v>
      </c>
    </row>
    <row r="76" spans="1:16">
      <c r="A76" s="2">
        <v>17.6550465701888</v>
      </c>
      <c r="B76" s="2">
        <v>67.4373103719158</v>
      </c>
      <c r="C76" s="2">
        <v>27.229224753101</v>
      </c>
      <c r="D76" s="2">
        <v>20.4219185648258</v>
      </c>
      <c r="E76" s="2">
        <v>13.6146123765505</v>
      </c>
      <c r="F76">
        <v>45</v>
      </c>
      <c r="H76" s="2">
        <v>23.1590751040102</v>
      </c>
      <c r="I76" s="2">
        <v>88.4611507257523</v>
      </c>
      <c r="J76" s="2">
        <v>41.7597100052381</v>
      </c>
      <c r="K76" s="2">
        <v>31.3197825039286</v>
      </c>
      <c r="L76" s="2">
        <v>20.879855002619</v>
      </c>
      <c r="M76">
        <v>45</v>
      </c>
      <c r="N76">
        <f t="shared" si="3"/>
        <v>0.3172476041645</v>
      </c>
      <c r="O76">
        <f t="shared" si="4"/>
        <v>1.38275561791909</v>
      </c>
      <c r="P76">
        <f t="shared" si="5"/>
        <v>4.35860066322867</v>
      </c>
    </row>
    <row r="77" spans="1:16">
      <c r="A77" s="2">
        <v>17.8968965232051</v>
      </c>
      <c r="B77" s="2">
        <v>68.3611091441338</v>
      </c>
      <c r="C77" s="2">
        <v>27.9001007651901</v>
      </c>
      <c r="D77" s="2">
        <v>20.9250755738926</v>
      </c>
      <c r="E77" s="2">
        <v>13.950050382595</v>
      </c>
      <c r="F77">
        <v>45</v>
      </c>
      <c r="H77" s="2">
        <v>23.4763227081748</v>
      </c>
      <c r="I77" s="2">
        <v>89.6729473110366</v>
      </c>
      <c r="J77" s="2">
        <v>43.20905374462</v>
      </c>
      <c r="K77" s="2">
        <v>32.406790308465</v>
      </c>
      <c r="L77" s="2">
        <v>21.60452687231</v>
      </c>
      <c r="M77">
        <v>45</v>
      </c>
      <c r="N77">
        <f t="shared" si="3"/>
        <v>0.317247604164599</v>
      </c>
      <c r="O77">
        <f t="shared" si="4"/>
        <v>1.4493437393819</v>
      </c>
      <c r="P77">
        <f t="shared" si="5"/>
        <v>4.56849388413326</v>
      </c>
    </row>
    <row r="78" spans="1:16">
      <c r="A78" s="2">
        <v>18.1387464762214</v>
      </c>
      <c r="B78" s="2">
        <v>69.2849079163518</v>
      </c>
      <c r="C78" s="2">
        <v>28.5842713267065</v>
      </c>
      <c r="D78" s="2">
        <v>21.4382034950299</v>
      </c>
      <c r="E78" s="2">
        <v>14.2921356633532</v>
      </c>
      <c r="F78">
        <v>45</v>
      </c>
      <c r="H78" s="2">
        <v>23.7935703123393</v>
      </c>
      <c r="I78" s="2">
        <v>90.8847438963209</v>
      </c>
      <c r="J78" s="2">
        <v>44.739092647529</v>
      </c>
      <c r="K78" s="2">
        <v>33.5543194856468</v>
      </c>
      <c r="L78" s="2">
        <v>22.3695463237645</v>
      </c>
      <c r="M78">
        <v>45</v>
      </c>
      <c r="N78">
        <f t="shared" si="3"/>
        <v>0.3172476041645</v>
      </c>
      <c r="O78">
        <f t="shared" si="4"/>
        <v>1.530038902909</v>
      </c>
      <c r="P78">
        <f t="shared" si="5"/>
        <v>4.82285408250283</v>
      </c>
    </row>
    <row r="79" spans="1:16">
      <c r="A79" s="2">
        <v>18.3805964292376</v>
      </c>
      <c r="B79" s="2">
        <v>70.2087066885698</v>
      </c>
      <c r="C79" s="2">
        <v>29.2829764565872</v>
      </c>
      <c r="D79" s="2">
        <v>21.9622323424404</v>
      </c>
      <c r="E79" s="2">
        <v>14.6414882282936</v>
      </c>
      <c r="F79">
        <v>45</v>
      </c>
      <c r="H79" s="2">
        <v>24.1108179165038</v>
      </c>
      <c r="I79" s="2">
        <v>92.0965404816051</v>
      </c>
      <c r="J79" s="2">
        <v>46.3493011206033</v>
      </c>
      <c r="K79" s="2">
        <v>34.7619758404525</v>
      </c>
      <c r="L79" s="2">
        <v>23.1746505603016</v>
      </c>
      <c r="M79">
        <v>45</v>
      </c>
      <c r="N79">
        <f t="shared" si="3"/>
        <v>0.317247604164503</v>
      </c>
      <c r="O79">
        <f t="shared" si="4"/>
        <v>1.6102084730743</v>
      </c>
      <c r="P79">
        <f t="shared" si="5"/>
        <v>5.07555755169503</v>
      </c>
    </row>
    <row r="80" spans="1:16">
      <c r="A80" s="2">
        <v>18.6224463822539</v>
      </c>
      <c r="B80" s="2">
        <v>71.1325054607879</v>
      </c>
      <c r="C80" s="2">
        <v>29.997003580161</v>
      </c>
      <c r="D80" s="2">
        <v>22.4977526851207</v>
      </c>
      <c r="E80" s="2">
        <v>14.9985017900805</v>
      </c>
      <c r="F80">
        <v>45</v>
      </c>
      <c r="H80" s="2">
        <v>24.4280655206683</v>
      </c>
      <c r="I80" s="2">
        <v>93.3083370668894</v>
      </c>
      <c r="J80" s="2">
        <v>48.0473081918686</v>
      </c>
      <c r="K80" s="2">
        <v>36.0354811439015</v>
      </c>
      <c r="L80" s="2">
        <v>24.0236540959343</v>
      </c>
      <c r="M80">
        <v>45</v>
      </c>
      <c r="N80">
        <f t="shared" si="3"/>
        <v>0.3172476041645</v>
      </c>
      <c r="O80">
        <f t="shared" si="4"/>
        <v>1.6980070712653</v>
      </c>
      <c r="P80">
        <f t="shared" si="5"/>
        <v>5.35230857215504</v>
      </c>
    </row>
    <row r="81" spans="1:16">
      <c r="A81" s="2">
        <v>18.8642963352702</v>
      </c>
      <c r="B81" s="2">
        <v>72.0563042330059</v>
      </c>
      <c r="C81" s="2">
        <v>30.7250276275901</v>
      </c>
      <c r="D81" s="2">
        <v>23.0437707206925</v>
      </c>
      <c r="E81" s="2">
        <v>15.362513813795</v>
      </c>
      <c r="F81">
        <v>45</v>
      </c>
      <c r="H81" s="2">
        <v>24.7453131248329</v>
      </c>
      <c r="I81" s="2">
        <v>94.5201336521737</v>
      </c>
      <c r="J81" s="2">
        <v>49.8403577207626</v>
      </c>
      <c r="K81" s="2">
        <v>37.380268290572</v>
      </c>
      <c r="L81" s="2">
        <v>24.9201788603813</v>
      </c>
      <c r="M81">
        <v>45</v>
      </c>
      <c r="N81">
        <f t="shared" si="3"/>
        <v>0.317247604164599</v>
      </c>
      <c r="O81">
        <f t="shared" si="4"/>
        <v>1.793049528894</v>
      </c>
      <c r="P81">
        <f t="shared" si="5"/>
        <v>5.65189304932843</v>
      </c>
    </row>
    <row r="82" spans="1:16">
      <c r="A82" s="2">
        <v>19.1061462882865</v>
      </c>
      <c r="B82" s="2">
        <v>72.9801030052239</v>
      </c>
      <c r="C82" s="2">
        <v>31.4693213590303</v>
      </c>
      <c r="D82" s="2">
        <v>23.6019910192727</v>
      </c>
      <c r="E82" s="2">
        <v>15.7346606795151</v>
      </c>
      <c r="F82">
        <v>45</v>
      </c>
      <c r="H82" s="2">
        <v>25.0625607289974</v>
      </c>
      <c r="I82" s="2">
        <v>95.731930237458</v>
      </c>
      <c r="J82" s="2">
        <v>51.739897690327</v>
      </c>
      <c r="K82" s="2">
        <v>38.8049232677452</v>
      </c>
      <c r="L82" s="2">
        <v>25.8699488451635</v>
      </c>
      <c r="M82">
        <v>45</v>
      </c>
      <c r="N82">
        <f t="shared" si="3"/>
        <v>0.3172476041645</v>
      </c>
      <c r="O82">
        <f t="shared" si="4"/>
        <v>1.8995399695644</v>
      </c>
      <c r="P82">
        <f t="shared" si="5"/>
        <v>5.98756285194654</v>
      </c>
    </row>
    <row r="83" spans="1:16">
      <c r="A83" s="2">
        <v>19.3479962413028</v>
      </c>
      <c r="B83" s="2">
        <v>73.9039017774419</v>
      </c>
      <c r="C83" s="2">
        <v>32.2277764609917</v>
      </c>
      <c r="D83" s="2">
        <v>24.1708323457438</v>
      </c>
      <c r="E83" s="2">
        <v>16.1138882304959</v>
      </c>
      <c r="F83">
        <v>45</v>
      </c>
      <c r="H83" s="2">
        <v>25.3798083331619</v>
      </c>
      <c r="I83" s="2">
        <v>96.9437268227423</v>
      </c>
      <c r="J83" s="2">
        <v>53.7479678225846</v>
      </c>
      <c r="K83" s="2">
        <v>40.3109758669384</v>
      </c>
      <c r="L83" s="2">
        <v>26.8739839112923</v>
      </c>
      <c r="M83">
        <v>45</v>
      </c>
      <c r="N83">
        <f t="shared" si="3"/>
        <v>0.3172476041645</v>
      </c>
      <c r="O83">
        <f t="shared" si="4"/>
        <v>2.0080701322576</v>
      </c>
      <c r="P83">
        <f t="shared" si="5"/>
        <v>6.32966208695582</v>
      </c>
    </row>
    <row r="84" spans="1:16">
      <c r="A84" s="2">
        <v>19.5898461943191</v>
      </c>
      <c r="B84" s="2">
        <v>74.82770054966</v>
      </c>
      <c r="C84" s="2">
        <v>33.0023544453867</v>
      </c>
      <c r="D84" s="2">
        <v>24.7517658340401</v>
      </c>
      <c r="E84" s="2">
        <v>16.5011772226934</v>
      </c>
      <c r="F84">
        <v>45</v>
      </c>
      <c r="H84" s="2">
        <v>25.6970559373264</v>
      </c>
      <c r="I84" s="2">
        <v>98.1555234080265</v>
      </c>
      <c r="J84" s="2">
        <v>55.8747808727225</v>
      </c>
      <c r="K84" s="2">
        <v>41.9060856545419</v>
      </c>
      <c r="L84" s="2">
        <v>27.9373904363613</v>
      </c>
      <c r="M84">
        <v>45</v>
      </c>
      <c r="N84">
        <f t="shared" si="3"/>
        <v>0.3172476041645</v>
      </c>
      <c r="O84">
        <f t="shared" si="4"/>
        <v>2.1268130501379</v>
      </c>
      <c r="P84">
        <f t="shared" si="5"/>
        <v>6.70395307078538</v>
      </c>
    </row>
    <row r="85" spans="1:16">
      <c r="A85" s="2">
        <v>19.8316961473353</v>
      </c>
      <c r="B85" s="2">
        <v>75.751499321878</v>
      </c>
      <c r="C85" s="2">
        <v>33.7917716874716</v>
      </c>
      <c r="D85" s="2">
        <v>25.3438287656037</v>
      </c>
      <c r="E85" s="2">
        <v>16.8958858437358</v>
      </c>
      <c r="F85">
        <v>45</v>
      </c>
      <c r="H85" s="2">
        <v>26.014303541491</v>
      </c>
      <c r="I85" s="2">
        <v>99.3673199933108</v>
      </c>
      <c r="J85" s="2">
        <v>58.1289260711085</v>
      </c>
      <c r="K85" s="2">
        <v>43.5966945533314</v>
      </c>
      <c r="L85" s="2">
        <v>29.0644630355543</v>
      </c>
      <c r="M85">
        <v>45</v>
      </c>
      <c r="N85">
        <f t="shared" si="3"/>
        <v>0.317247604164599</v>
      </c>
      <c r="O85">
        <f t="shared" si="4"/>
        <v>2.254145198386</v>
      </c>
      <c r="P85">
        <f t="shared" si="5"/>
        <v>7.10531827126571</v>
      </c>
    </row>
    <row r="86" spans="1:16">
      <c r="A86" s="2">
        <v>20.0735461003516</v>
      </c>
      <c r="B86" s="2">
        <v>76.675298094096</v>
      </c>
      <c r="C86" s="2">
        <v>34.5961844736573</v>
      </c>
      <c r="D86" s="2">
        <v>25.947138355243</v>
      </c>
      <c r="E86" s="2">
        <v>17.2980922368287</v>
      </c>
      <c r="F86">
        <v>45</v>
      </c>
      <c r="H86" s="2">
        <v>26.3315511456555</v>
      </c>
      <c r="I86" s="2">
        <v>100.579116578595</v>
      </c>
      <c r="J86" s="2">
        <v>60.516683984691</v>
      </c>
      <c r="K86" s="2">
        <v>45.3875129885182</v>
      </c>
      <c r="L86" s="2">
        <v>30.2583419923455</v>
      </c>
      <c r="M86">
        <v>45</v>
      </c>
      <c r="N86">
        <f t="shared" si="3"/>
        <v>0.3172476041645</v>
      </c>
      <c r="O86">
        <f t="shared" si="4"/>
        <v>2.3877579135825</v>
      </c>
      <c r="P86">
        <f t="shared" si="5"/>
        <v>7.52648052259015</v>
      </c>
    </row>
    <row r="87" spans="1:16">
      <c r="A87" s="2">
        <v>20.3153960533679</v>
      </c>
      <c r="B87" s="2">
        <v>77.599096866314</v>
      </c>
      <c r="C87" s="2">
        <v>35.4163979676592</v>
      </c>
      <c r="D87" s="2">
        <v>26.5622984757444</v>
      </c>
      <c r="E87" s="2">
        <v>17.7081989838296</v>
      </c>
      <c r="F87">
        <v>45</v>
      </c>
      <c r="H87" s="2">
        <v>26.64879874982</v>
      </c>
      <c r="I87" s="2">
        <v>101.790913163879</v>
      </c>
      <c r="J87" s="2">
        <v>63.0410970431734</v>
      </c>
      <c r="K87" s="2">
        <v>47.28082278238</v>
      </c>
      <c r="L87" s="2">
        <v>31.5205485215867</v>
      </c>
      <c r="M87">
        <v>45</v>
      </c>
      <c r="N87">
        <f t="shared" si="3"/>
        <v>0.3172476041645</v>
      </c>
      <c r="O87">
        <f t="shared" si="4"/>
        <v>2.5244130584824</v>
      </c>
      <c r="P87">
        <f t="shared" si="5"/>
        <v>7.95723285328087</v>
      </c>
    </row>
    <row r="88" spans="1:16">
      <c r="A88" s="2">
        <v>20.5572460063842</v>
      </c>
      <c r="B88" s="2">
        <v>78.5228956385321</v>
      </c>
      <c r="C88" s="2">
        <v>36.2508525777997</v>
      </c>
      <c r="D88" s="2">
        <v>27.1881394333498</v>
      </c>
      <c r="E88" s="2">
        <v>18.1254262888998</v>
      </c>
      <c r="F88">
        <v>45</v>
      </c>
      <c r="H88" s="2">
        <v>26.9660463539845</v>
      </c>
      <c r="I88" s="2">
        <v>103.002709749164</v>
      </c>
      <c r="J88" s="2">
        <v>65.7038291781518</v>
      </c>
      <c r="K88" s="2">
        <v>49.2778718836138</v>
      </c>
      <c r="L88" s="2">
        <v>32.8519145890759</v>
      </c>
      <c r="M88">
        <v>45</v>
      </c>
      <c r="N88">
        <f t="shared" si="3"/>
        <v>0.3172476041645</v>
      </c>
      <c r="O88">
        <f t="shared" si="4"/>
        <v>2.66273213497841</v>
      </c>
      <c r="P88">
        <f t="shared" si="5"/>
        <v>8.39323008282742</v>
      </c>
    </row>
    <row r="89" spans="1:16">
      <c r="A89" s="2">
        <v>20.7990959594005</v>
      </c>
      <c r="B89" s="2">
        <v>79.4466944107501</v>
      </c>
      <c r="C89" s="2">
        <v>37.0996450498499</v>
      </c>
      <c r="D89" s="2">
        <v>27.8247337873874</v>
      </c>
      <c r="E89" s="2">
        <v>18.5498225249249</v>
      </c>
      <c r="F89">
        <v>45</v>
      </c>
      <c r="H89" s="2">
        <v>27.283293958149</v>
      </c>
      <c r="I89" s="2">
        <v>104.214506334448</v>
      </c>
      <c r="J89" s="2">
        <v>68.5020605361547</v>
      </c>
      <c r="K89" s="2">
        <v>51.376545402116</v>
      </c>
      <c r="L89" s="2">
        <v>34.2510302680774</v>
      </c>
      <c r="M89">
        <v>45</v>
      </c>
      <c r="N89">
        <f t="shared" si="3"/>
        <v>0.3172476041645</v>
      </c>
      <c r="O89">
        <f t="shared" si="4"/>
        <v>2.79823135800289</v>
      </c>
      <c r="P89">
        <f t="shared" si="5"/>
        <v>8.82033881823092</v>
      </c>
    </row>
    <row r="90" spans="1:16">
      <c r="A90" s="2">
        <v>21.0409459124168</v>
      </c>
      <c r="B90" s="2">
        <v>80.3704931829681</v>
      </c>
      <c r="C90" s="2">
        <v>37.9631664547365</v>
      </c>
      <c r="D90" s="2">
        <v>28.4723748410524</v>
      </c>
      <c r="E90" s="2">
        <v>18.9815832273682</v>
      </c>
      <c r="F90">
        <v>45</v>
      </c>
      <c r="H90" s="2">
        <v>27.6005415623136</v>
      </c>
      <c r="I90" s="2">
        <v>105.426302919732</v>
      </c>
      <c r="J90" s="2">
        <v>71.4202371338507</v>
      </c>
      <c r="K90" s="2">
        <v>53.565177850388</v>
      </c>
      <c r="L90" s="2">
        <v>35.7101185669253</v>
      </c>
      <c r="M90">
        <v>45</v>
      </c>
      <c r="N90">
        <f t="shared" si="3"/>
        <v>0.317247604164603</v>
      </c>
      <c r="O90">
        <f t="shared" si="4"/>
        <v>2.918176597696</v>
      </c>
      <c r="P90">
        <f t="shared" si="5"/>
        <v>9.19841965514708</v>
      </c>
    </row>
    <row r="91" spans="1:16">
      <c r="A91" s="2">
        <v>21.282795865433</v>
      </c>
      <c r="B91" s="2">
        <v>81.2942919551861</v>
      </c>
      <c r="C91" s="2">
        <v>38.8397549547513</v>
      </c>
      <c r="D91" s="2">
        <v>29.1298162160635</v>
      </c>
      <c r="E91" s="2">
        <v>19.4198774773756</v>
      </c>
      <c r="F91">
        <v>45</v>
      </c>
      <c r="H91" s="2">
        <v>27.9177891664781</v>
      </c>
      <c r="I91" s="2">
        <v>106.638099505016</v>
      </c>
      <c r="J91" s="2">
        <v>74.4415859805343</v>
      </c>
      <c r="K91" s="2">
        <v>55.8311894854007</v>
      </c>
      <c r="L91" s="2">
        <v>37.2207929902671</v>
      </c>
      <c r="M91">
        <v>45</v>
      </c>
      <c r="N91">
        <f t="shared" si="3"/>
        <v>0.3172476041645</v>
      </c>
      <c r="O91">
        <f t="shared" si="4"/>
        <v>3.02134884668359</v>
      </c>
      <c r="P91">
        <f t="shared" si="5"/>
        <v>9.52363014573613</v>
      </c>
    </row>
    <row r="92" spans="1:16">
      <c r="A92" s="2">
        <v>21.5246458184493</v>
      </c>
      <c r="B92" s="2">
        <v>82.2180907274042</v>
      </c>
      <c r="C92" s="2">
        <v>39.7287641902696</v>
      </c>
      <c r="D92" s="2">
        <v>29.7965731427022</v>
      </c>
      <c r="E92" s="2">
        <v>19.8643820951348</v>
      </c>
      <c r="F92">
        <v>45</v>
      </c>
      <c r="H92" s="2">
        <v>28.2350367706426</v>
      </c>
      <c r="I92" s="2">
        <v>107.849896090301</v>
      </c>
      <c r="J92" s="2">
        <v>77.5488157467048</v>
      </c>
      <c r="K92" s="2">
        <v>58.1616118100286</v>
      </c>
      <c r="L92" s="2">
        <v>38.7744078733524</v>
      </c>
      <c r="M92">
        <v>45</v>
      </c>
      <c r="N92">
        <f t="shared" si="3"/>
        <v>0.3172476041645</v>
      </c>
      <c r="O92">
        <f t="shared" si="4"/>
        <v>3.1072297661705</v>
      </c>
      <c r="P92">
        <f t="shared" si="5"/>
        <v>9.79433642802024</v>
      </c>
    </row>
    <row r="93" spans="1:16">
      <c r="A93" s="2">
        <v>21.7664957714656</v>
      </c>
      <c r="B93" s="2">
        <v>83.1418894996222</v>
      </c>
      <c r="C93" s="2">
        <v>40.6293355096653</v>
      </c>
      <c r="D93" s="2">
        <v>30.472001632249</v>
      </c>
      <c r="E93" s="2">
        <v>20.3146677548327</v>
      </c>
      <c r="F93">
        <v>45</v>
      </c>
      <c r="H93" s="2">
        <v>28.5522843748071</v>
      </c>
      <c r="I93" s="2">
        <v>109.061692675585</v>
      </c>
      <c r="J93" s="2">
        <v>80.719687631571</v>
      </c>
      <c r="K93" s="2">
        <v>60.5397657236783</v>
      </c>
      <c r="L93" s="2">
        <v>40.3598438157855</v>
      </c>
      <c r="M93">
        <v>45</v>
      </c>
      <c r="N93">
        <f t="shared" si="3"/>
        <v>0.3172476041645</v>
      </c>
      <c r="O93">
        <f t="shared" si="4"/>
        <v>3.1708718848662</v>
      </c>
      <c r="P93">
        <f t="shared" si="5"/>
        <v>9.99494351806684</v>
      </c>
    </row>
    <row r="94" spans="1:16">
      <c r="A94" s="2">
        <v>22.0083457244819</v>
      </c>
      <c r="B94" s="2">
        <v>84.0656882718402</v>
      </c>
      <c r="C94" s="2">
        <v>41.5405773364782</v>
      </c>
      <c r="D94" s="2">
        <v>31.1554330023587</v>
      </c>
      <c r="E94" s="2">
        <v>20.7702886682391</v>
      </c>
      <c r="F94">
        <v>45</v>
      </c>
      <c r="H94" s="2">
        <v>28.8695319789717</v>
      </c>
      <c r="I94" s="2">
        <v>110.273489260869</v>
      </c>
      <c r="J94" s="2">
        <v>83.9376980376159</v>
      </c>
      <c r="K94" s="2">
        <v>62.9532735282119</v>
      </c>
      <c r="L94" s="2">
        <v>41.9688490188079</v>
      </c>
      <c r="M94">
        <v>45</v>
      </c>
      <c r="N94">
        <f t="shared" si="3"/>
        <v>0.317247604164599</v>
      </c>
      <c r="O94">
        <f t="shared" si="4"/>
        <v>3.2180104060449</v>
      </c>
      <c r="P94">
        <f t="shared" si="5"/>
        <v>10.1435294192964</v>
      </c>
    </row>
    <row r="95" spans="1:16">
      <c r="A95" s="2">
        <v>22.2501956774982</v>
      </c>
      <c r="B95" s="2">
        <v>84.9894870440582</v>
      </c>
      <c r="C95" s="2">
        <v>42.4610655395325</v>
      </c>
      <c r="D95" s="2">
        <v>31.8457991546494</v>
      </c>
      <c r="E95" s="2">
        <v>21.2305327697662</v>
      </c>
      <c r="F95">
        <v>45</v>
      </c>
      <c r="H95" s="2">
        <v>29.1867795831362</v>
      </c>
      <c r="I95" s="2">
        <v>111.485285846154</v>
      </c>
      <c r="J95" s="2">
        <v>87.1888000281719</v>
      </c>
      <c r="K95" s="2">
        <v>65.3916000211289</v>
      </c>
      <c r="L95" s="2">
        <v>43.594400014086</v>
      </c>
      <c r="M95">
        <v>45</v>
      </c>
      <c r="N95">
        <f t="shared" si="3"/>
        <v>0.3172476041645</v>
      </c>
      <c r="O95">
        <f t="shared" si="4"/>
        <v>3.25110199055599</v>
      </c>
      <c r="P95">
        <f t="shared" si="5"/>
        <v>10.2478378020161</v>
      </c>
    </row>
    <row r="96" spans="1:16">
      <c r="A96" s="2">
        <v>22.4920456305145</v>
      </c>
      <c r="B96" s="2">
        <v>85.9132858162762</v>
      </c>
      <c r="C96" s="2">
        <v>43.389020241804</v>
      </c>
      <c r="D96" s="2">
        <v>32.541765181353</v>
      </c>
      <c r="E96" s="2">
        <v>21.694510120902</v>
      </c>
      <c r="F96">
        <v>45</v>
      </c>
      <c r="H96" s="2">
        <v>29.5040271873007</v>
      </c>
      <c r="I96" s="2">
        <v>112.697082431438</v>
      </c>
      <c r="J96" s="2">
        <v>90.4611375583315</v>
      </c>
      <c r="K96" s="2">
        <v>67.8458531687486</v>
      </c>
      <c r="L96" s="2">
        <v>45.2305687791658</v>
      </c>
      <c r="M96">
        <v>45</v>
      </c>
      <c r="N96">
        <f t="shared" si="3"/>
        <v>0.3172476041645</v>
      </c>
      <c r="O96">
        <f t="shared" si="4"/>
        <v>3.2723375301596</v>
      </c>
      <c r="P96">
        <f t="shared" si="5"/>
        <v>10.3147746025619</v>
      </c>
    </row>
    <row r="97" spans="1:16">
      <c r="A97" s="2">
        <v>22.7338955835308</v>
      </c>
      <c r="B97" s="2">
        <v>86.8370845884943</v>
      </c>
      <c r="C97" s="2">
        <v>44.3227323800283</v>
      </c>
      <c r="D97" s="2">
        <v>33.2420492850212</v>
      </c>
      <c r="E97" s="2">
        <v>22.1613661900142</v>
      </c>
      <c r="F97">
        <v>45</v>
      </c>
      <c r="H97" s="2">
        <v>29.8212747914652</v>
      </c>
      <c r="I97" s="2">
        <v>113.908879016722</v>
      </c>
      <c r="J97" s="2">
        <v>93.7443837498452</v>
      </c>
      <c r="K97" s="2">
        <v>70.3082878123839</v>
      </c>
      <c r="L97" s="2">
        <v>46.8721918749226</v>
      </c>
      <c r="M97">
        <v>45</v>
      </c>
      <c r="N97">
        <f t="shared" si="3"/>
        <v>0.3172476041645</v>
      </c>
      <c r="O97">
        <f t="shared" si="4"/>
        <v>3.2832461915137</v>
      </c>
      <c r="P97">
        <f t="shared" si="5"/>
        <v>10.3491599256058</v>
      </c>
    </row>
    <row r="98" spans="1:18">
      <c r="A98" s="2">
        <v>22.975745536547</v>
      </c>
      <c r="B98" s="2">
        <v>87.7608833607123</v>
      </c>
      <c r="C98" s="2">
        <v>45.2603149248093</v>
      </c>
      <c r="D98" s="2">
        <v>33.945236193607</v>
      </c>
      <c r="E98" s="2">
        <v>22.6301574624047</v>
      </c>
      <c r="F98">
        <v>45</v>
      </c>
      <c r="H98" s="2">
        <v>30.1385223956298</v>
      </c>
      <c r="I98" s="2">
        <v>115.120675602006</v>
      </c>
      <c r="J98" s="2">
        <v>97.0290818291208</v>
      </c>
      <c r="K98" s="2">
        <v>72.7718113718406</v>
      </c>
      <c r="L98" s="2">
        <v>48.5145409145604</v>
      </c>
      <c r="M98">
        <v>45</v>
      </c>
      <c r="N98">
        <f t="shared" si="3"/>
        <v>0.317247604164599</v>
      </c>
      <c r="O98">
        <f t="shared" si="4"/>
        <v>3.2846980792756</v>
      </c>
      <c r="P98">
        <f t="shared" si="5"/>
        <v>10.3537364385308</v>
      </c>
      <c r="R98" s="4" t="s">
        <v>79</v>
      </c>
    </row>
    <row r="99" spans="1:18">
      <c r="A99" s="2">
        <v>23.2175954895633</v>
      </c>
      <c r="B99" s="2">
        <v>88.6846821329303</v>
      </c>
      <c r="C99" s="2">
        <v>46.1997328241014</v>
      </c>
      <c r="D99" s="2">
        <v>34.649799618076</v>
      </c>
      <c r="E99" s="2">
        <v>23.0998664120507</v>
      </c>
      <c r="F99">
        <v>45</v>
      </c>
      <c r="H99" s="2">
        <v>30.4557699997943</v>
      </c>
      <c r="I99" s="2">
        <v>116.332472187291</v>
      </c>
      <c r="J99" s="2">
        <v>100.306133734581</v>
      </c>
      <c r="K99" s="2">
        <v>75.2296003009357</v>
      </c>
      <c r="L99" s="2">
        <v>50.1530668672905</v>
      </c>
      <c r="M99">
        <v>45</v>
      </c>
      <c r="N99">
        <f t="shared" si="3"/>
        <v>0.3172476041645</v>
      </c>
      <c r="O99">
        <f t="shared" si="4"/>
        <v>3.2770519054602</v>
      </c>
      <c r="P99">
        <f t="shared" si="5"/>
        <v>10.3296348418158</v>
      </c>
      <c r="R99" s="2">
        <f>FORECAST(45,H3:H102,K3:K102)</f>
        <v>24.2907576246679</v>
      </c>
    </row>
    <row r="100" spans="1:16">
      <c r="A100" s="2">
        <v>23.4594454425796</v>
      </c>
      <c r="B100" s="2">
        <v>89.6084809051483</v>
      </c>
      <c r="C100" s="2">
        <v>47.138785175684</v>
      </c>
      <c r="D100" s="2">
        <v>35.354088881763</v>
      </c>
      <c r="E100" s="2">
        <v>23.569392587842</v>
      </c>
      <c r="F100">
        <v>45</v>
      </c>
      <c r="H100" s="2">
        <v>30.7730176039588</v>
      </c>
      <c r="I100" s="2">
        <v>117.544268772575</v>
      </c>
      <c r="J100" s="2">
        <v>103.566468171515</v>
      </c>
      <c r="K100" s="2">
        <v>77.6748511286362</v>
      </c>
      <c r="L100" s="2">
        <v>51.7832340857575</v>
      </c>
      <c r="M100">
        <v>45</v>
      </c>
      <c r="N100">
        <f t="shared" si="3"/>
        <v>0.3172476041645</v>
      </c>
      <c r="O100">
        <f t="shared" si="4"/>
        <v>3.260334436934</v>
      </c>
      <c r="P100">
        <f t="shared" si="5"/>
        <v>10.2769395076139</v>
      </c>
    </row>
    <row r="101" spans="1:16">
      <c r="A101" s="2">
        <v>23.7012953955959</v>
      </c>
      <c r="B101" s="2">
        <v>90.5322796773664</v>
      </c>
      <c r="C101" s="2">
        <v>48.0747415988606</v>
      </c>
      <c r="D101" s="2">
        <v>36.0560561991454</v>
      </c>
      <c r="E101" s="2">
        <v>24.0373707994303</v>
      </c>
      <c r="F101">
        <v>45</v>
      </c>
      <c r="H101" s="2">
        <v>31.0902652081233</v>
      </c>
      <c r="I101" s="2">
        <v>118.756065357859</v>
      </c>
      <c r="J101" s="2">
        <v>106.800879872528</v>
      </c>
      <c r="K101" s="2">
        <v>80.100659904396</v>
      </c>
      <c r="L101" s="2">
        <v>53.400439936264</v>
      </c>
      <c r="M101">
        <v>45</v>
      </c>
      <c r="N101">
        <f t="shared" si="3"/>
        <v>0.3172476041645</v>
      </c>
      <c r="O101">
        <f t="shared" si="4"/>
        <v>3.234411701013</v>
      </c>
      <c r="P101">
        <f t="shared" si="5"/>
        <v>10.195228139015</v>
      </c>
    </row>
    <row r="102" spans="1:16">
      <c r="A102" s="2">
        <v>23.9431453486122</v>
      </c>
      <c r="B102" s="2">
        <v>91.4560784495844</v>
      </c>
      <c r="C102" s="2">
        <v>49</v>
      </c>
      <c r="D102" s="2">
        <v>36.75</v>
      </c>
      <c r="E102" s="2">
        <v>24.5</v>
      </c>
      <c r="F102">
        <v>45</v>
      </c>
      <c r="H102" s="2">
        <v>31.4075128122878</v>
      </c>
      <c r="I102" s="2">
        <v>119.967861943144</v>
      </c>
      <c r="J102" s="2">
        <v>110</v>
      </c>
      <c r="K102" s="2">
        <v>82.5</v>
      </c>
      <c r="L102" s="2">
        <v>55</v>
      </c>
      <c r="M102">
        <v>45</v>
      </c>
      <c r="N102">
        <f t="shared" si="3"/>
        <v>0.3172476041645</v>
      </c>
      <c r="O102">
        <f t="shared" si="4"/>
        <v>3.199120127472</v>
      </c>
      <c r="P102">
        <f t="shared" si="5"/>
        <v>10.0839851443391</v>
      </c>
    </row>
  </sheetData>
  <mergeCells count="2">
    <mergeCell ref="A1:E1"/>
    <mergeCell ref="H1:L1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2"/>
  <sheetViews>
    <sheetView zoomScale="90" zoomScaleNormal="90" topLeftCell="H99" workbookViewId="0">
      <selection activeCell="T102" sqref="T102"/>
    </sheetView>
  </sheetViews>
  <sheetFormatPr defaultColWidth="8.89814814814815" defaultRowHeight="14.4"/>
  <cols>
    <col min="1" max="1" width="12.7777777777778" customWidth="1"/>
    <col min="8" max="8" width="12.7777777777778" customWidth="1"/>
    <col min="15" max="17" width="12.8888888888889" customWidth="1"/>
    <col min="19" max="19" width="19.1203703703704" customWidth="1"/>
  </cols>
  <sheetData>
    <row r="1" spans="1:12">
      <c r="A1" s="1" t="s">
        <v>71</v>
      </c>
      <c r="B1" s="1"/>
      <c r="C1" s="1"/>
      <c r="D1" s="1"/>
      <c r="E1" s="1"/>
      <c r="H1" s="1" t="s">
        <v>72</v>
      </c>
      <c r="I1" s="1"/>
      <c r="J1" s="1"/>
      <c r="K1" s="1"/>
      <c r="L1" s="1"/>
    </row>
    <row r="2" spans="1:13">
      <c r="A2" s="2" t="s">
        <v>73</v>
      </c>
      <c r="B2" s="2" t="s">
        <v>74</v>
      </c>
      <c r="C2" s="2" t="s">
        <v>75</v>
      </c>
      <c r="D2" s="2" t="s">
        <v>76</v>
      </c>
      <c r="E2" s="2" t="s">
        <v>77</v>
      </c>
      <c r="F2" t="s">
        <v>78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t="s">
        <v>78</v>
      </c>
    </row>
    <row r="3" spans="1:13">
      <c r="A3">
        <v>0</v>
      </c>
      <c r="B3">
        <v>0</v>
      </c>
      <c r="C3">
        <v>0</v>
      </c>
      <c r="D3">
        <v>0</v>
      </c>
      <c r="E3">
        <v>0</v>
      </c>
      <c r="F3">
        <v>45</v>
      </c>
      <c r="H3">
        <v>0</v>
      </c>
      <c r="I3">
        <v>0</v>
      </c>
      <c r="J3">
        <v>0</v>
      </c>
      <c r="K3">
        <v>0</v>
      </c>
      <c r="L3">
        <v>0</v>
      </c>
      <c r="M3">
        <v>45</v>
      </c>
    </row>
    <row r="4" spans="1:17">
      <c r="A4">
        <v>0.126080152907884</v>
      </c>
      <c r="B4">
        <v>0.481590709465721</v>
      </c>
      <c r="C4">
        <v>0.189897007051736</v>
      </c>
      <c r="D4">
        <v>0.142422755288802</v>
      </c>
      <c r="E4">
        <v>0.0949485035258679</v>
      </c>
      <c r="F4">
        <v>45</v>
      </c>
      <c r="H4">
        <v>0.300562077620227</v>
      </c>
      <c r="I4">
        <v>1.1480625686215</v>
      </c>
      <c r="J4">
        <v>0.573340742608985</v>
      </c>
      <c r="K4">
        <v>0.430005556956739</v>
      </c>
      <c r="L4">
        <v>0.286670371304493</v>
      </c>
      <c r="M4">
        <v>45</v>
      </c>
      <c r="O4">
        <f t="shared" ref="O4:O67" si="0">H4-H3</f>
        <v>0.300562077620227</v>
      </c>
      <c r="P4">
        <f t="shared" ref="P4:P67" si="1">J4-J3</f>
        <v>0.573340742608985</v>
      </c>
      <c r="Q4">
        <f t="shared" ref="Q4:Q67" si="2">P4/O4</f>
        <v>1.90756181601002</v>
      </c>
    </row>
    <row r="5" spans="1:17">
      <c r="A5">
        <v>0.252160305815771</v>
      </c>
      <c r="B5">
        <v>0.963181418931455</v>
      </c>
      <c r="C5">
        <v>0.378768123038651</v>
      </c>
      <c r="D5">
        <v>0.284076092278988</v>
      </c>
      <c r="E5">
        <v>0.189384061519325</v>
      </c>
      <c r="F5">
        <v>45</v>
      </c>
      <c r="H5">
        <v>0.601124155240454</v>
      </c>
      <c r="I5">
        <v>2.296125137243</v>
      </c>
      <c r="J5">
        <v>1.14403728401687</v>
      </c>
      <c r="K5">
        <v>0.858027963012655</v>
      </c>
      <c r="L5">
        <v>0.572018642008437</v>
      </c>
      <c r="M5">
        <v>45</v>
      </c>
      <c r="O5">
        <f t="shared" si="0"/>
        <v>0.300562077620227</v>
      </c>
      <c r="P5">
        <f t="shared" si="1"/>
        <v>0.570696541407885</v>
      </c>
      <c r="Q5">
        <f t="shared" si="2"/>
        <v>1.89876429497198</v>
      </c>
    </row>
    <row r="6" spans="1:17">
      <c r="A6">
        <v>0.378240458723655</v>
      </c>
      <c r="B6">
        <v>1.44477212839718</v>
      </c>
      <c r="C6">
        <v>0.566698715543498</v>
      </c>
      <c r="D6">
        <v>0.425024036657623</v>
      </c>
      <c r="E6">
        <v>0.283349357771749</v>
      </c>
      <c r="F6">
        <v>45</v>
      </c>
      <c r="H6">
        <v>0.901686232860681</v>
      </c>
      <c r="I6">
        <v>3.44418770586449</v>
      </c>
      <c r="J6">
        <v>1.67475749427805</v>
      </c>
      <c r="K6">
        <v>1.25606812070854</v>
      </c>
      <c r="L6">
        <v>0.837378747139027</v>
      </c>
      <c r="M6">
        <v>45</v>
      </c>
      <c r="O6">
        <f t="shared" si="0"/>
        <v>0.300562077620227</v>
      </c>
      <c r="P6">
        <f t="shared" si="1"/>
        <v>0.53072021026118</v>
      </c>
      <c r="Q6">
        <f t="shared" si="2"/>
        <v>1.76575905537813</v>
      </c>
    </row>
    <row r="7" spans="1:17">
      <c r="A7">
        <v>0.504320611631539</v>
      </c>
      <c r="B7">
        <v>1.9263628378629</v>
      </c>
      <c r="C7">
        <v>0.753768675926775</v>
      </c>
      <c r="D7">
        <v>0.565326506945081</v>
      </c>
      <c r="E7">
        <v>0.376884337963387</v>
      </c>
      <c r="F7">
        <v>45</v>
      </c>
      <c r="H7">
        <v>1.20224831048091</v>
      </c>
      <c r="I7">
        <v>4.59225027448599</v>
      </c>
      <c r="J7">
        <v>2.20547770453923</v>
      </c>
      <c r="K7">
        <v>1.65410827840443</v>
      </c>
      <c r="L7">
        <v>1.10273885226962</v>
      </c>
      <c r="M7">
        <v>45</v>
      </c>
      <c r="O7">
        <f t="shared" si="0"/>
        <v>0.300562077620229</v>
      </c>
      <c r="P7">
        <f t="shared" si="1"/>
        <v>0.53072021026118</v>
      </c>
      <c r="Q7">
        <f t="shared" si="2"/>
        <v>1.76575905537812</v>
      </c>
    </row>
    <row r="8" spans="1:17">
      <c r="A8">
        <v>0.630400764539422</v>
      </c>
      <c r="B8">
        <v>2.40795354732862</v>
      </c>
      <c r="C8">
        <v>0.940052958929017</v>
      </c>
      <c r="D8">
        <v>0.705039719196763</v>
      </c>
      <c r="E8">
        <v>0.470026479464509</v>
      </c>
      <c r="F8">
        <v>45</v>
      </c>
      <c r="H8">
        <v>1.50281038810114</v>
      </c>
      <c r="I8">
        <v>5.74031284310749</v>
      </c>
      <c r="J8">
        <v>2.70692546137644</v>
      </c>
      <c r="K8">
        <v>2.03019409603233</v>
      </c>
      <c r="L8">
        <v>1.35346273068822</v>
      </c>
      <c r="M8">
        <v>45</v>
      </c>
      <c r="O8">
        <f t="shared" si="0"/>
        <v>0.30056207762023</v>
      </c>
      <c r="P8">
        <f t="shared" si="1"/>
        <v>0.50144775683721</v>
      </c>
      <c r="Q8">
        <f t="shared" si="2"/>
        <v>1.6683666842056</v>
      </c>
    </row>
    <row r="9" spans="1:17">
      <c r="A9">
        <v>0.75648091744731</v>
      </c>
      <c r="B9">
        <v>2.88954425679435</v>
      </c>
      <c r="C9">
        <v>1.12562206872988</v>
      </c>
      <c r="D9">
        <v>0.844216551547407</v>
      </c>
      <c r="E9">
        <v>0.562811034364938</v>
      </c>
      <c r="F9">
        <v>45</v>
      </c>
      <c r="H9">
        <v>1.80337246572137</v>
      </c>
      <c r="I9">
        <v>6.88837541172902</v>
      </c>
      <c r="J9">
        <v>3.20741956783474</v>
      </c>
      <c r="K9">
        <v>2.40556467587606</v>
      </c>
      <c r="L9">
        <v>1.60370978391737</v>
      </c>
      <c r="M9">
        <v>45</v>
      </c>
      <c r="O9">
        <f t="shared" si="0"/>
        <v>0.30056207762023</v>
      </c>
      <c r="P9">
        <f t="shared" si="1"/>
        <v>0.5004941064583</v>
      </c>
      <c r="Q9">
        <f t="shared" si="2"/>
        <v>1.66519379431057</v>
      </c>
    </row>
    <row r="10" spans="1:17">
      <c r="A10">
        <v>0.882561070355193</v>
      </c>
      <c r="B10">
        <v>3.37113496626007</v>
      </c>
      <c r="C10">
        <v>1.31054249730704</v>
      </c>
      <c r="D10">
        <v>0.982906872980278</v>
      </c>
      <c r="E10">
        <v>0.655271248653519</v>
      </c>
      <c r="F10">
        <v>45</v>
      </c>
      <c r="H10">
        <v>2.1039345433416</v>
      </c>
      <c r="I10">
        <v>8.03643798035051</v>
      </c>
      <c r="J10">
        <v>3.69224115619655</v>
      </c>
      <c r="K10">
        <v>2.76918086714741</v>
      </c>
      <c r="L10">
        <v>1.84612057809827</v>
      </c>
      <c r="M10">
        <v>45</v>
      </c>
      <c r="O10">
        <f t="shared" si="0"/>
        <v>0.30056207762023</v>
      </c>
      <c r="P10">
        <f t="shared" si="1"/>
        <v>0.48482158836181</v>
      </c>
      <c r="Q10">
        <f t="shared" si="2"/>
        <v>1.6130497639639</v>
      </c>
    </row>
    <row r="11" spans="1:17">
      <c r="A11">
        <v>1.00864122326308</v>
      </c>
      <c r="B11">
        <v>3.85272567572579</v>
      </c>
      <c r="C11">
        <v>1.49487712020455</v>
      </c>
      <c r="D11">
        <v>1.12115784015341</v>
      </c>
      <c r="E11">
        <v>0.747438560102276</v>
      </c>
      <c r="F11">
        <v>45</v>
      </c>
      <c r="H11">
        <v>2.40449662096182</v>
      </c>
      <c r="I11">
        <v>9.18450054897201</v>
      </c>
      <c r="J11">
        <v>4.17179448685076</v>
      </c>
      <c r="K11">
        <v>3.12884586513807</v>
      </c>
      <c r="L11">
        <v>2.08589724342538</v>
      </c>
      <c r="M11">
        <v>45</v>
      </c>
      <c r="O11">
        <f t="shared" si="0"/>
        <v>0.30056207762022</v>
      </c>
      <c r="P11">
        <f t="shared" si="1"/>
        <v>0.47955333065421</v>
      </c>
      <c r="Q11">
        <f t="shared" si="2"/>
        <v>1.59552174529535</v>
      </c>
    </row>
    <row r="12" spans="1:17">
      <c r="A12">
        <v>1.13472137617096</v>
      </c>
      <c r="B12">
        <v>4.33431638519153</v>
      </c>
      <c r="C12">
        <v>1.67863223113187</v>
      </c>
      <c r="D12">
        <v>1.2589741733489</v>
      </c>
      <c r="E12">
        <v>0.839316115565933</v>
      </c>
      <c r="F12">
        <v>45</v>
      </c>
      <c r="H12">
        <v>2.70505869858205</v>
      </c>
      <c r="I12">
        <v>10.3325631175935</v>
      </c>
      <c r="J12">
        <v>4.64541800656683</v>
      </c>
      <c r="K12">
        <v>3.48406350492512</v>
      </c>
      <c r="L12">
        <v>2.32270900328341</v>
      </c>
      <c r="M12">
        <v>45</v>
      </c>
      <c r="O12">
        <f t="shared" si="0"/>
        <v>0.30056207762023</v>
      </c>
      <c r="P12">
        <f t="shared" si="1"/>
        <v>0.47362351971607</v>
      </c>
      <c r="Q12">
        <f t="shared" si="2"/>
        <v>1.57579267306805</v>
      </c>
    </row>
    <row r="13" spans="1:17">
      <c r="A13">
        <v>1.26080152907885</v>
      </c>
      <c r="B13">
        <v>4.81590709465725</v>
      </c>
      <c r="C13">
        <v>1.86190632822113</v>
      </c>
      <c r="D13">
        <v>1.39642974616585</v>
      </c>
      <c r="E13">
        <v>0.930953164110566</v>
      </c>
      <c r="F13">
        <v>45</v>
      </c>
      <c r="H13">
        <v>3.00562077620228</v>
      </c>
      <c r="I13">
        <v>11.480625686215</v>
      </c>
      <c r="J13">
        <v>5.11122743085801</v>
      </c>
      <c r="K13">
        <v>3.83342057314351</v>
      </c>
      <c r="L13">
        <v>2.55561371542901</v>
      </c>
      <c r="M13">
        <v>45</v>
      </c>
      <c r="O13">
        <f t="shared" si="0"/>
        <v>0.30056207762023</v>
      </c>
      <c r="P13">
        <f t="shared" si="1"/>
        <v>0.46580942429118</v>
      </c>
      <c r="Q13">
        <f t="shared" si="2"/>
        <v>1.54979439847946</v>
      </c>
    </row>
    <row r="14" spans="1:17">
      <c r="A14">
        <v>1.38688168198673</v>
      </c>
      <c r="B14">
        <v>5.29749780412297</v>
      </c>
      <c r="C14">
        <v>2.04478646089967</v>
      </c>
      <c r="D14">
        <v>1.53358984567475</v>
      </c>
      <c r="E14">
        <v>1.02239323044984</v>
      </c>
      <c r="F14">
        <v>45</v>
      </c>
      <c r="H14">
        <v>3.30618285382251</v>
      </c>
      <c r="I14">
        <v>12.6286882548365</v>
      </c>
      <c r="J14">
        <v>5.57666779805444</v>
      </c>
      <c r="K14">
        <v>4.18250084854083</v>
      </c>
      <c r="L14">
        <v>2.78833389902722</v>
      </c>
      <c r="M14">
        <v>45</v>
      </c>
      <c r="O14">
        <f t="shared" si="0"/>
        <v>0.30056207762023</v>
      </c>
      <c r="P14">
        <f t="shared" si="1"/>
        <v>0.46544036719643</v>
      </c>
      <c r="Q14">
        <f t="shared" si="2"/>
        <v>1.54856650872812</v>
      </c>
    </row>
    <row r="15" spans="1:17">
      <c r="A15">
        <v>1.51296183489462</v>
      </c>
      <c r="B15">
        <v>5.77908851358869</v>
      </c>
      <c r="C15">
        <v>2.22732376560284</v>
      </c>
      <c r="D15">
        <v>1.67049282420213</v>
      </c>
      <c r="E15">
        <v>1.11366188280142</v>
      </c>
      <c r="F15">
        <v>45</v>
      </c>
      <c r="H15">
        <v>3.60674493144273</v>
      </c>
      <c r="I15">
        <v>13.776750823458</v>
      </c>
      <c r="J15">
        <v>6.03447443498683</v>
      </c>
      <c r="K15">
        <v>4.52585582624012</v>
      </c>
      <c r="L15">
        <v>3.01723721749342</v>
      </c>
      <c r="M15">
        <v>45</v>
      </c>
      <c r="O15">
        <f t="shared" si="0"/>
        <v>0.30056207762022</v>
      </c>
      <c r="P15">
        <f t="shared" si="1"/>
        <v>0.45780663693239</v>
      </c>
      <c r="Q15">
        <f t="shared" si="2"/>
        <v>1.52316832701316</v>
      </c>
    </row>
    <row r="16" spans="1:17">
      <c r="A16">
        <v>1.6390419878025</v>
      </c>
      <c r="B16">
        <v>6.26067922305442</v>
      </c>
      <c r="C16">
        <v>2.40956717045807</v>
      </c>
      <c r="D16">
        <v>1.80717537784356</v>
      </c>
      <c r="E16">
        <v>1.20478358522904</v>
      </c>
      <c r="F16">
        <v>45</v>
      </c>
      <c r="H16">
        <v>3.90730700906296</v>
      </c>
      <c r="I16">
        <v>14.9248133920795</v>
      </c>
      <c r="J16">
        <v>6.49228107191923</v>
      </c>
      <c r="K16">
        <v>4.86921080393942</v>
      </c>
      <c r="L16">
        <v>3.24614053595961</v>
      </c>
      <c r="M16">
        <v>45</v>
      </c>
      <c r="O16">
        <f t="shared" si="0"/>
        <v>0.30056207762023</v>
      </c>
      <c r="P16">
        <f t="shared" si="1"/>
        <v>0.4578066369324</v>
      </c>
      <c r="Q16">
        <f t="shared" si="2"/>
        <v>1.52316832701314</v>
      </c>
    </row>
    <row r="17" spans="1:17">
      <c r="A17">
        <v>1.76512214071039</v>
      </c>
      <c r="B17">
        <v>6.74226993252015</v>
      </c>
      <c r="C17">
        <v>2.59156362303062</v>
      </c>
      <c r="D17">
        <v>1.94367271727296</v>
      </c>
      <c r="E17">
        <v>1.29578181151531</v>
      </c>
      <c r="F17">
        <v>45</v>
      </c>
      <c r="H17">
        <v>4.20786908668319</v>
      </c>
      <c r="I17">
        <v>16.072875960701</v>
      </c>
      <c r="J17">
        <v>6.94803980063277</v>
      </c>
      <c r="K17">
        <v>5.21102985047458</v>
      </c>
      <c r="L17">
        <v>3.47401990031639</v>
      </c>
      <c r="M17">
        <v>45</v>
      </c>
      <c r="O17">
        <f t="shared" si="0"/>
        <v>0.30056207762023</v>
      </c>
      <c r="P17">
        <f t="shared" si="1"/>
        <v>0.455758728713541</v>
      </c>
      <c r="Q17">
        <f t="shared" si="2"/>
        <v>1.51635473218084</v>
      </c>
    </row>
    <row r="18" spans="1:17">
      <c r="A18">
        <v>1.89120229361827</v>
      </c>
      <c r="B18">
        <v>7.22386064198587</v>
      </c>
      <c r="C18">
        <v>2.77335829666525</v>
      </c>
      <c r="D18">
        <v>2.08001872249893</v>
      </c>
      <c r="E18">
        <v>1.38667914833262</v>
      </c>
      <c r="F18">
        <v>45</v>
      </c>
      <c r="H18">
        <v>4.50843116430342</v>
      </c>
      <c r="I18">
        <v>17.2209385293225</v>
      </c>
      <c r="J18">
        <v>7.4025384757879</v>
      </c>
      <c r="K18">
        <v>5.55190385684093</v>
      </c>
      <c r="L18">
        <v>3.70126923789395</v>
      </c>
      <c r="M18">
        <v>45</v>
      </c>
      <c r="O18">
        <f t="shared" si="0"/>
        <v>0.30056207762023</v>
      </c>
      <c r="P18">
        <f t="shared" si="1"/>
        <v>0.454498675155129</v>
      </c>
      <c r="Q18">
        <f t="shared" si="2"/>
        <v>1.51216240835746</v>
      </c>
    </row>
    <row r="19" spans="1:17">
      <c r="A19">
        <v>2.01728244652616</v>
      </c>
      <c r="B19">
        <v>7.7054513514516</v>
      </c>
      <c r="C19">
        <v>2.95498494250815</v>
      </c>
      <c r="D19">
        <v>2.21623870688111</v>
      </c>
      <c r="E19">
        <v>1.47749247125408</v>
      </c>
      <c r="F19">
        <v>45</v>
      </c>
      <c r="H19">
        <v>4.80899324192365</v>
      </c>
      <c r="I19">
        <v>18.369001097944</v>
      </c>
      <c r="J19">
        <v>7.85714442735682</v>
      </c>
      <c r="K19">
        <v>5.89285832051761</v>
      </c>
      <c r="L19">
        <v>3.92857221367841</v>
      </c>
      <c r="M19">
        <v>45</v>
      </c>
      <c r="O19">
        <f t="shared" si="0"/>
        <v>0.30056207762023</v>
      </c>
      <c r="P19">
        <f t="shared" si="1"/>
        <v>0.45460595156892</v>
      </c>
      <c r="Q19">
        <f t="shared" si="2"/>
        <v>1.51251932768221</v>
      </c>
    </row>
    <row r="20" spans="1:17">
      <c r="A20">
        <v>2.14336259943404</v>
      </c>
      <c r="B20">
        <v>8.18704206091732</v>
      </c>
      <c r="C20">
        <v>3.13650000632884</v>
      </c>
      <c r="D20">
        <v>2.35237500474663</v>
      </c>
      <c r="E20">
        <v>1.56825000316442</v>
      </c>
      <c r="F20">
        <v>45</v>
      </c>
      <c r="H20">
        <v>5.10955531954387</v>
      </c>
      <c r="I20">
        <v>19.5170636665655</v>
      </c>
      <c r="J20">
        <v>8.31225825988692</v>
      </c>
      <c r="K20">
        <v>6.23419369491519</v>
      </c>
      <c r="L20">
        <v>4.15612912994346</v>
      </c>
      <c r="M20">
        <v>45</v>
      </c>
      <c r="O20">
        <f t="shared" si="0"/>
        <v>0.30056207762022</v>
      </c>
      <c r="P20">
        <f t="shared" si="1"/>
        <v>0.455113832530101</v>
      </c>
      <c r="Q20">
        <f t="shared" si="2"/>
        <v>1.51420909827875</v>
      </c>
    </row>
    <row r="21" spans="1:17">
      <c r="A21">
        <v>2.26944275234193</v>
      </c>
      <c r="B21">
        <v>8.66863277038304</v>
      </c>
      <c r="C21">
        <v>3.3179594749085</v>
      </c>
      <c r="D21">
        <v>2.48846960618137</v>
      </c>
      <c r="E21">
        <v>1.65897973745425</v>
      </c>
      <c r="F21">
        <v>45</v>
      </c>
      <c r="H21">
        <v>5.4101173971641</v>
      </c>
      <c r="I21">
        <v>20.665126235187</v>
      </c>
      <c r="J21">
        <v>8.76737209241703</v>
      </c>
      <c r="K21">
        <v>6.57552906931277</v>
      </c>
      <c r="L21">
        <v>4.38368604620852</v>
      </c>
      <c r="M21">
        <v>45</v>
      </c>
      <c r="O21">
        <f t="shared" si="0"/>
        <v>0.30056207762023</v>
      </c>
      <c r="P21">
        <f t="shared" si="1"/>
        <v>0.45511383253011</v>
      </c>
      <c r="Q21">
        <f t="shared" si="2"/>
        <v>1.51420909827873</v>
      </c>
    </row>
    <row r="22" spans="1:17">
      <c r="A22">
        <v>2.39552290524981</v>
      </c>
      <c r="B22">
        <v>9.15022347984878</v>
      </c>
      <c r="C22">
        <v>3.49940219687183</v>
      </c>
      <c r="D22">
        <v>2.62455164765388</v>
      </c>
      <c r="E22">
        <v>1.74970109843592</v>
      </c>
      <c r="F22">
        <v>45</v>
      </c>
      <c r="H22">
        <v>5.71067947478433</v>
      </c>
      <c r="I22">
        <v>21.8131888038085</v>
      </c>
      <c r="J22">
        <v>9.22538587447452</v>
      </c>
      <c r="K22">
        <v>6.91903940585589</v>
      </c>
      <c r="L22">
        <v>4.61269293723726</v>
      </c>
      <c r="M22">
        <v>45</v>
      </c>
      <c r="O22">
        <f t="shared" si="0"/>
        <v>0.30056207762023</v>
      </c>
      <c r="P22">
        <f t="shared" si="1"/>
        <v>0.45801378205749</v>
      </c>
      <c r="Q22">
        <f t="shared" si="2"/>
        <v>1.52385751949787</v>
      </c>
    </row>
    <row r="23" spans="1:17">
      <c r="A23">
        <v>2.5216030581577</v>
      </c>
      <c r="B23">
        <v>9.6318141893145</v>
      </c>
      <c r="C23">
        <v>3.68086600410018</v>
      </c>
      <c r="D23">
        <v>2.76064950307513</v>
      </c>
      <c r="E23">
        <v>1.84043300205009</v>
      </c>
      <c r="F23">
        <v>45</v>
      </c>
      <c r="H23">
        <v>6.01124155240456</v>
      </c>
      <c r="I23">
        <v>22.96125137243</v>
      </c>
      <c r="J23">
        <v>9.68445599858067</v>
      </c>
      <c r="K23">
        <v>7.2633419989355</v>
      </c>
      <c r="L23">
        <v>4.84222799929034</v>
      </c>
      <c r="M23">
        <v>45</v>
      </c>
      <c r="O23">
        <f t="shared" si="0"/>
        <v>0.30056207762023</v>
      </c>
      <c r="P23">
        <f t="shared" si="1"/>
        <v>0.45907012410615</v>
      </c>
      <c r="Q23">
        <f t="shared" si="2"/>
        <v>1.5273720748171</v>
      </c>
    </row>
    <row r="24" spans="1:17">
      <c r="A24">
        <v>2.64768321106558</v>
      </c>
      <c r="B24">
        <v>10.1134048987802</v>
      </c>
      <c r="C24">
        <v>3.86238783030965</v>
      </c>
      <c r="D24">
        <v>2.89679087273223</v>
      </c>
      <c r="E24">
        <v>1.93119391515482</v>
      </c>
      <c r="F24">
        <v>45</v>
      </c>
      <c r="H24">
        <v>6.31180363002478</v>
      </c>
      <c r="I24">
        <v>24.1093139410515</v>
      </c>
      <c r="J24">
        <v>10.1456677103039</v>
      </c>
      <c r="K24">
        <v>7.60925078272793</v>
      </c>
      <c r="L24">
        <v>5.07283385515195</v>
      </c>
      <c r="M24">
        <v>45</v>
      </c>
      <c r="O24">
        <f t="shared" si="0"/>
        <v>0.30056207762022</v>
      </c>
      <c r="P24">
        <f t="shared" si="1"/>
        <v>0.46121171172323</v>
      </c>
      <c r="Q24">
        <f t="shared" si="2"/>
        <v>1.53449735034771</v>
      </c>
    </row>
    <row r="25" spans="1:17">
      <c r="A25">
        <v>2.77376336397347</v>
      </c>
      <c r="B25">
        <v>10.594995608246</v>
      </c>
      <c r="C25">
        <v>4.04400381826432</v>
      </c>
      <c r="D25">
        <v>3.03300286369824</v>
      </c>
      <c r="E25">
        <v>2.02200190913216</v>
      </c>
      <c r="F25">
        <v>45</v>
      </c>
      <c r="H25">
        <v>6.61236570764501</v>
      </c>
      <c r="I25">
        <v>25.257376509673</v>
      </c>
      <c r="J25">
        <v>10.6115877295703</v>
      </c>
      <c r="K25">
        <v>7.95869079717772</v>
      </c>
      <c r="L25">
        <v>5.30579386478515</v>
      </c>
      <c r="M25">
        <v>45</v>
      </c>
      <c r="O25">
        <f t="shared" si="0"/>
        <v>0.30056207762023</v>
      </c>
      <c r="P25">
        <f t="shared" si="1"/>
        <v>0.465920019266399</v>
      </c>
      <c r="Q25">
        <f t="shared" si="2"/>
        <v>1.55016235898896</v>
      </c>
    </row>
    <row r="26" spans="1:17">
      <c r="A26">
        <v>2.89984351688135</v>
      </c>
      <c r="B26">
        <v>11.0765863177117</v>
      </c>
      <c r="C26">
        <v>4.2257688783433</v>
      </c>
      <c r="D26">
        <v>3.16932665875748</v>
      </c>
      <c r="E26">
        <v>2.11288443917165</v>
      </c>
      <c r="F26">
        <v>45</v>
      </c>
      <c r="H26">
        <v>6.91292778526524</v>
      </c>
      <c r="I26">
        <v>26.4054390782945</v>
      </c>
      <c r="J26">
        <v>11.0775077488367</v>
      </c>
      <c r="K26">
        <v>8.30813081162752</v>
      </c>
      <c r="L26">
        <v>5.53875387441835</v>
      </c>
      <c r="M26">
        <v>45</v>
      </c>
      <c r="O26">
        <f t="shared" si="0"/>
        <v>0.30056207762023</v>
      </c>
      <c r="P26">
        <f t="shared" si="1"/>
        <v>0.465920019266401</v>
      </c>
      <c r="Q26">
        <f t="shared" si="2"/>
        <v>1.55016235898896</v>
      </c>
    </row>
    <row r="27" spans="1:17">
      <c r="A27">
        <v>3.02592366978923</v>
      </c>
      <c r="B27">
        <v>11.5581770271774</v>
      </c>
      <c r="C27">
        <v>4.40772686825203</v>
      </c>
      <c r="D27">
        <v>3.30579515118902</v>
      </c>
      <c r="E27">
        <v>2.20386343412602</v>
      </c>
      <c r="F27">
        <v>45</v>
      </c>
      <c r="H27">
        <v>7.21348986288547</v>
      </c>
      <c r="I27">
        <v>27.553501646916</v>
      </c>
      <c r="J27">
        <v>11.5521436683576</v>
      </c>
      <c r="K27">
        <v>8.66410775126817</v>
      </c>
      <c r="L27">
        <v>5.77607183417878</v>
      </c>
      <c r="M27">
        <v>45</v>
      </c>
      <c r="O27">
        <f t="shared" si="0"/>
        <v>0.30056207762023</v>
      </c>
      <c r="P27">
        <f t="shared" si="1"/>
        <v>0.4746359195209</v>
      </c>
      <c r="Q27">
        <f t="shared" si="2"/>
        <v>1.57916102816077</v>
      </c>
    </row>
    <row r="28" spans="1:17">
      <c r="A28">
        <v>3.15200382269712</v>
      </c>
      <c r="B28">
        <v>12.0397677366431</v>
      </c>
      <c r="C28">
        <v>4.58989889684467</v>
      </c>
      <c r="D28">
        <v>3.4424241726335</v>
      </c>
      <c r="E28">
        <v>2.29494944842233</v>
      </c>
      <c r="F28">
        <v>45</v>
      </c>
      <c r="H28">
        <v>7.5140519405057</v>
      </c>
      <c r="I28">
        <v>28.7015642155375</v>
      </c>
      <c r="J28">
        <v>12.0274570624773</v>
      </c>
      <c r="K28">
        <v>9.02059279685801</v>
      </c>
      <c r="L28">
        <v>6.01372853123867</v>
      </c>
      <c r="M28">
        <v>45</v>
      </c>
      <c r="O28">
        <f t="shared" si="0"/>
        <v>0.30056207762023</v>
      </c>
      <c r="P28">
        <f t="shared" si="1"/>
        <v>0.4753133941197</v>
      </c>
      <c r="Q28">
        <f t="shared" si="2"/>
        <v>1.58141505369907</v>
      </c>
    </row>
    <row r="29" spans="1:17">
      <c r="A29">
        <v>3.278083975605</v>
      </c>
      <c r="B29">
        <v>12.5213584461088</v>
      </c>
      <c r="C29">
        <v>4.77231777488508</v>
      </c>
      <c r="D29">
        <v>3.57923833116381</v>
      </c>
      <c r="E29">
        <v>2.38615888744254</v>
      </c>
      <c r="F29">
        <v>45</v>
      </c>
      <c r="H29">
        <v>7.81461401812592</v>
      </c>
      <c r="I29">
        <v>29.849626784159</v>
      </c>
      <c r="J29">
        <v>12.5096518663731</v>
      </c>
      <c r="K29">
        <v>9.38223889977981</v>
      </c>
      <c r="L29">
        <v>6.25482593318654</v>
      </c>
      <c r="M29">
        <v>45</v>
      </c>
      <c r="O29">
        <f t="shared" si="0"/>
        <v>0.30056207762022</v>
      </c>
      <c r="P29">
        <f t="shared" si="1"/>
        <v>0.482194803895799</v>
      </c>
      <c r="Q29">
        <f t="shared" si="2"/>
        <v>1.6043101901401</v>
      </c>
    </row>
    <row r="30" spans="1:17">
      <c r="A30">
        <v>3.40416412851289</v>
      </c>
      <c r="B30">
        <v>13.0029491555746</v>
      </c>
      <c r="C30">
        <v>4.95501592863277</v>
      </c>
      <c r="D30">
        <v>3.71626194647458</v>
      </c>
      <c r="E30">
        <v>2.47750796431638</v>
      </c>
      <c r="F30">
        <v>45</v>
      </c>
      <c r="H30">
        <v>8.11517609574615</v>
      </c>
      <c r="I30">
        <v>30.9976893527805</v>
      </c>
      <c r="J30">
        <v>12.9966239552775</v>
      </c>
      <c r="K30">
        <v>9.7474679664581</v>
      </c>
      <c r="L30">
        <v>6.49831197763874</v>
      </c>
      <c r="M30">
        <v>45</v>
      </c>
      <c r="O30">
        <f t="shared" si="0"/>
        <v>0.30056207762023</v>
      </c>
      <c r="P30">
        <f t="shared" si="1"/>
        <v>0.4869720889044</v>
      </c>
      <c r="Q30">
        <f t="shared" si="2"/>
        <v>1.62020469368629</v>
      </c>
    </row>
    <row r="31" spans="1:17">
      <c r="A31">
        <v>3.53024428142077</v>
      </c>
      <c r="B31">
        <v>13.4845398650403</v>
      </c>
      <c r="C31">
        <v>5.13802545916286</v>
      </c>
      <c r="D31">
        <v>3.85351909437214</v>
      </c>
      <c r="E31">
        <v>2.56901272958143</v>
      </c>
      <c r="F31">
        <v>45</v>
      </c>
      <c r="H31">
        <v>8.41573817336638</v>
      </c>
      <c r="I31">
        <v>32.145751921402</v>
      </c>
      <c r="J31">
        <v>13.4878233867017</v>
      </c>
      <c r="K31">
        <v>10.1158675400263</v>
      </c>
      <c r="L31">
        <v>6.74391169335083</v>
      </c>
      <c r="M31">
        <v>45</v>
      </c>
      <c r="O31">
        <f t="shared" si="0"/>
        <v>0.30056207762023</v>
      </c>
      <c r="P31">
        <f t="shared" si="1"/>
        <v>0.491199431424201</v>
      </c>
      <c r="Q31">
        <f t="shared" si="2"/>
        <v>1.63426948373989</v>
      </c>
    </row>
    <row r="32" spans="1:17">
      <c r="A32">
        <v>3.65632443432866</v>
      </c>
      <c r="B32">
        <v>13.966130574506</v>
      </c>
      <c r="C32">
        <v>5.32137819548676</v>
      </c>
      <c r="D32">
        <v>3.99103364661507</v>
      </c>
      <c r="E32">
        <v>2.66068909774338</v>
      </c>
      <c r="F32">
        <v>45</v>
      </c>
      <c r="H32">
        <v>8.71630025098661</v>
      </c>
      <c r="I32">
        <v>33.2938144900235</v>
      </c>
      <c r="J32">
        <v>13.9884954668132</v>
      </c>
      <c r="K32">
        <v>10.4913716001099</v>
      </c>
      <c r="L32">
        <v>6.99424773340659</v>
      </c>
      <c r="M32">
        <v>45</v>
      </c>
      <c r="O32">
        <f t="shared" si="0"/>
        <v>0.30056207762023</v>
      </c>
      <c r="P32">
        <f t="shared" si="1"/>
        <v>0.500672080111499</v>
      </c>
      <c r="Q32">
        <f t="shared" si="2"/>
        <v>1.66578593039976</v>
      </c>
    </row>
    <row r="33" spans="1:17">
      <c r="A33">
        <v>3.78240458723654</v>
      </c>
      <c r="B33">
        <v>14.4477212839717</v>
      </c>
      <c r="C33">
        <v>5.50513239043133</v>
      </c>
      <c r="D33">
        <v>4.1288492928235</v>
      </c>
      <c r="E33">
        <v>2.75256619521566</v>
      </c>
      <c r="F33">
        <v>45</v>
      </c>
      <c r="H33">
        <v>9.01686232860684</v>
      </c>
      <c r="I33">
        <v>34.441877058645</v>
      </c>
      <c r="J33">
        <v>14.490557345317</v>
      </c>
      <c r="K33">
        <v>10.8679180089878</v>
      </c>
      <c r="L33">
        <v>7.24527867265851</v>
      </c>
      <c r="M33">
        <v>45</v>
      </c>
      <c r="O33">
        <f t="shared" si="0"/>
        <v>0.30056207762023</v>
      </c>
      <c r="P33">
        <f t="shared" si="1"/>
        <v>0.502061878503801</v>
      </c>
      <c r="Q33">
        <f t="shared" si="2"/>
        <v>1.67040992822179</v>
      </c>
    </row>
    <row r="34" spans="1:17">
      <c r="A34">
        <v>3.90848474014443</v>
      </c>
      <c r="B34">
        <v>14.9293119934375</v>
      </c>
      <c r="C34">
        <v>5.68934867807208</v>
      </c>
      <c r="D34">
        <v>4.26701150855406</v>
      </c>
      <c r="E34">
        <v>2.84467433903604</v>
      </c>
      <c r="F34">
        <v>45</v>
      </c>
      <c r="H34">
        <v>9.31742440622706</v>
      </c>
      <c r="I34">
        <v>35.5899396272665</v>
      </c>
      <c r="J34">
        <v>15.0067881235829</v>
      </c>
      <c r="K34">
        <v>11.2550910926872</v>
      </c>
      <c r="L34">
        <v>7.50339406179146</v>
      </c>
      <c r="M34">
        <v>45</v>
      </c>
      <c r="O34">
        <f t="shared" si="0"/>
        <v>0.300562077620221</v>
      </c>
      <c r="P34">
        <f t="shared" si="1"/>
        <v>0.5162307782659</v>
      </c>
      <c r="Q34">
        <f t="shared" si="2"/>
        <v>1.71755127045066</v>
      </c>
    </row>
    <row r="35" spans="1:17">
      <c r="A35">
        <v>4.03456489305231</v>
      </c>
      <c r="B35">
        <v>15.4109027029032</v>
      </c>
      <c r="C35">
        <v>5.87401276539091</v>
      </c>
      <c r="D35">
        <v>4.40550957404319</v>
      </c>
      <c r="E35">
        <v>2.93700638269546</v>
      </c>
      <c r="F35">
        <v>45</v>
      </c>
      <c r="H35">
        <v>9.61798648384729</v>
      </c>
      <c r="I35">
        <v>36.738002195888</v>
      </c>
      <c r="J35">
        <v>15.5230189018488</v>
      </c>
      <c r="K35">
        <v>11.6422641763866</v>
      </c>
      <c r="L35">
        <v>7.7615094509244</v>
      </c>
      <c r="M35">
        <v>45</v>
      </c>
      <c r="O35">
        <f t="shared" si="0"/>
        <v>0.30056207762023</v>
      </c>
      <c r="P35">
        <f t="shared" si="1"/>
        <v>0.5162307782659</v>
      </c>
      <c r="Q35">
        <f t="shared" si="2"/>
        <v>1.71755127045061</v>
      </c>
    </row>
    <row r="36" spans="1:17">
      <c r="A36">
        <v>4.1606450459602</v>
      </c>
      <c r="B36">
        <v>15.8924934123689</v>
      </c>
      <c r="C36">
        <v>6.05915480015204</v>
      </c>
      <c r="D36">
        <v>4.54436610011403</v>
      </c>
      <c r="E36">
        <v>3.02957740007602</v>
      </c>
      <c r="F36">
        <v>45</v>
      </c>
      <c r="H36">
        <v>9.91854856146752</v>
      </c>
      <c r="I36">
        <v>37.8860647645095</v>
      </c>
      <c r="J36">
        <v>16.0554284551104</v>
      </c>
      <c r="K36">
        <v>12.0415713413328</v>
      </c>
      <c r="L36">
        <v>8.02771422755522</v>
      </c>
      <c r="M36">
        <v>45</v>
      </c>
      <c r="O36">
        <f t="shared" si="0"/>
        <v>0.300562077620231</v>
      </c>
      <c r="P36">
        <f t="shared" si="1"/>
        <v>0.532409553261598</v>
      </c>
      <c r="Q36">
        <f t="shared" si="2"/>
        <v>1.77137966797765</v>
      </c>
    </row>
    <row r="37" spans="1:17">
      <c r="A37">
        <v>4.28672519886808</v>
      </c>
      <c r="B37">
        <v>16.3740841218346</v>
      </c>
      <c r="C37">
        <v>6.24480486892728</v>
      </c>
      <c r="D37">
        <v>4.68360365169546</v>
      </c>
      <c r="E37">
        <v>3.12240243446364</v>
      </c>
      <c r="F37">
        <v>45</v>
      </c>
      <c r="H37">
        <v>10.2191106390877</v>
      </c>
      <c r="I37">
        <v>39.034127333131</v>
      </c>
      <c r="J37">
        <v>16.5889263060642</v>
      </c>
      <c r="K37">
        <v>12.4416947295481</v>
      </c>
      <c r="L37">
        <v>8.29446315303208</v>
      </c>
      <c r="M37">
        <v>45</v>
      </c>
      <c r="O37">
        <f t="shared" si="0"/>
        <v>0.30056207762018</v>
      </c>
      <c r="P37">
        <f t="shared" si="1"/>
        <v>0.5334978509538</v>
      </c>
      <c r="Q37">
        <f t="shared" si="2"/>
        <v>1.77500054290941</v>
      </c>
    </row>
    <row r="38" spans="1:17">
      <c r="A38">
        <v>4.41280535177597</v>
      </c>
      <c r="B38">
        <v>16.8556748313004</v>
      </c>
      <c r="C38">
        <v>6.4309930237266</v>
      </c>
      <c r="D38">
        <v>4.82324476779495</v>
      </c>
      <c r="E38">
        <v>3.2154965118633</v>
      </c>
      <c r="F38">
        <v>45</v>
      </c>
      <c r="H38">
        <v>10.519672716708</v>
      </c>
      <c r="I38">
        <v>40.1821899017525</v>
      </c>
      <c r="J38">
        <v>17.1385279343299</v>
      </c>
      <c r="K38">
        <v>12.8538959507474</v>
      </c>
      <c r="L38">
        <v>8.56926396716493</v>
      </c>
      <c r="M38">
        <v>45</v>
      </c>
      <c r="O38">
        <f t="shared" si="0"/>
        <v>0.300562077620299</v>
      </c>
      <c r="P38">
        <f t="shared" si="1"/>
        <v>0.549601628265702</v>
      </c>
      <c r="Q38">
        <f t="shared" si="2"/>
        <v>1.82857941566406</v>
      </c>
    </row>
    <row r="39" spans="1:17">
      <c r="A39">
        <v>4.53888550468385</v>
      </c>
      <c r="B39">
        <v>17.3372655407661</v>
      </c>
      <c r="C39">
        <v>6.6177493052932</v>
      </c>
      <c r="D39">
        <v>4.9633119789699</v>
      </c>
      <c r="E39">
        <v>3.3088746526466</v>
      </c>
      <c r="F39">
        <v>45</v>
      </c>
      <c r="H39">
        <v>10.8202347943282</v>
      </c>
      <c r="I39">
        <v>41.330252470374</v>
      </c>
      <c r="J39">
        <v>17.6908764476864</v>
      </c>
      <c r="K39">
        <v>13.2681573357648</v>
      </c>
      <c r="L39">
        <v>8.84543822384321</v>
      </c>
      <c r="M39">
        <v>45</v>
      </c>
      <c r="O39">
        <f t="shared" si="0"/>
        <v>0.300562077620201</v>
      </c>
      <c r="P39">
        <f t="shared" si="1"/>
        <v>0.552348513356499</v>
      </c>
      <c r="Q39">
        <f t="shared" si="2"/>
        <v>1.83771857624188</v>
      </c>
    </row>
    <row r="40" spans="1:17">
      <c r="A40">
        <v>4.66496565759174</v>
      </c>
      <c r="B40">
        <v>17.8188562502318</v>
      </c>
      <c r="C40">
        <v>6.80510376337647</v>
      </c>
      <c r="D40">
        <v>5.10382782253235</v>
      </c>
      <c r="E40">
        <v>3.40255188168823</v>
      </c>
      <c r="F40">
        <v>45</v>
      </c>
      <c r="H40">
        <v>11.1207968719484</v>
      </c>
      <c r="I40">
        <v>42.4783150389955</v>
      </c>
      <c r="J40">
        <v>18.260356476973</v>
      </c>
      <c r="K40">
        <v>13.6952673577298</v>
      </c>
      <c r="L40">
        <v>9.1301782384865</v>
      </c>
      <c r="M40">
        <v>45</v>
      </c>
      <c r="O40">
        <f t="shared" si="0"/>
        <v>0.300562077620199</v>
      </c>
      <c r="P40">
        <f t="shared" si="1"/>
        <v>0.569480029286602</v>
      </c>
      <c r="Q40">
        <f t="shared" si="2"/>
        <v>1.89471683785144</v>
      </c>
    </row>
    <row r="41" spans="1:17">
      <c r="A41">
        <v>4.79104581049962</v>
      </c>
      <c r="B41">
        <v>18.3004469596975</v>
      </c>
      <c r="C41">
        <v>6.99311422292354</v>
      </c>
      <c r="D41">
        <v>5.24483566719265</v>
      </c>
      <c r="E41">
        <v>3.49655711146177</v>
      </c>
      <c r="F41">
        <v>45</v>
      </c>
      <c r="H41">
        <v>11.4213589495687</v>
      </c>
      <c r="I41">
        <v>43.626377607617</v>
      </c>
      <c r="J41">
        <v>18.833035046447</v>
      </c>
      <c r="K41">
        <v>14.1247762848353</v>
      </c>
      <c r="L41">
        <v>9.41651752322352</v>
      </c>
      <c r="M41">
        <v>45</v>
      </c>
      <c r="O41">
        <f t="shared" si="0"/>
        <v>0.300562077620301</v>
      </c>
      <c r="P41">
        <f t="shared" si="1"/>
        <v>0.572678569474</v>
      </c>
      <c r="Q41">
        <f t="shared" si="2"/>
        <v>1.90535869996701</v>
      </c>
    </row>
    <row r="42" spans="1:17">
      <c r="A42">
        <v>4.91712596340751</v>
      </c>
      <c r="B42">
        <v>18.7820376691633</v>
      </c>
      <c r="C42">
        <v>7.18185458782592</v>
      </c>
      <c r="D42">
        <v>5.38639094086944</v>
      </c>
      <c r="E42">
        <v>3.59092729391296</v>
      </c>
      <c r="F42">
        <v>45</v>
      </c>
      <c r="H42">
        <v>11.7219210271889</v>
      </c>
      <c r="I42">
        <v>44.7744401762385</v>
      </c>
      <c r="J42">
        <v>19.4253171743267</v>
      </c>
      <c r="K42">
        <v>14.568987880745</v>
      </c>
      <c r="L42">
        <v>9.71265858716337</v>
      </c>
      <c r="M42">
        <v>45</v>
      </c>
      <c r="O42">
        <f t="shared" si="0"/>
        <v>0.300562077620199</v>
      </c>
      <c r="P42">
        <f t="shared" si="1"/>
        <v>0.592282127879699</v>
      </c>
      <c r="Q42">
        <f t="shared" si="2"/>
        <v>1.97058169337027</v>
      </c>
    </row>
    <row r="43" spans="1:17">
      <c r="A43">
        <v>5.04320611631539</v>
      </c>
      <c r="B43">
        <v>19.263628378629</v>
      </c>
      <c r="C43">
        <v>7.37128794731603</v>
      </c>
      <c r="D43">
        <v>5.52846596048703</v>
      </c>
      <c r="E43">
        <v>3.68564397365802</v>
      </c>
      <c r="F43">
        <v>45</v>
      </c>
      <c r="H43">
        <v>12.0224831048091</v>
      </c>
      <c r="I43">
        <v>45.92250274486</v>
      </c>
      <c r="J43">
        <v>20.0204822132311</v>
      </c>
      <c r="K43">
        <v>15.0153616599233</v>
      </c>
      <c r="L43">
        <v>10.0102411066155</v>
      </c>
      <c r="M43">
        <v>45</v>
      </c>
      <c r="O43">
        <f t="shared" si="0"/>
        <v>0.300562077620199</v>
      </c>
      <c r="P43">
        <f t="shared" si="1"/>
        <v>0.595165038904401</v>
      </c>
      <c r="Q43">
        <f t="shared" si="2"/>
        <v>1.98017342579217</v>
      </c>
    </row>
    <row r="44" spans="1:17">
      <c r="A44">
        <v>5.16928626922328</v>
      </c>
      <c r="B44">
        <v>19.7452190880947</v>
      </c>
      <c r="C44">
        <v>7.56144364414032</v>
      </c>
      <c r="D44">
        <v>5.67108273310524</v>
      </c>
      <c r="E44">
        <v>3.78072182207016</v>
      </c>
      <c r="F44">
        <v>45</v>
      </c>
      <c r="H44">
        <v>12.3230451824293</v>
      </c>
      <c r="I44">
        <v>47.0705653134815</v>
      </c>
      <c r="J44">
        <v>20.6379239068297</v>
      </c>
      <c r="K44">
        <v>15.4784429301223</v>
      </c>
      <c r="L44">
        <v>10.3189619534148</v>
      </c>
      <c r="M44">
        <v>45</v>
      </c>
      <c r="O44">
        <f t="shared" si="0"/>
        <v>0.300562077620201</v>
      </c>
      <c r="P44">
        <f t="shared" si="1"/>
        <v>0.617441693598597</v>
      </c>
      <c r="Q44">
        <f t="shared" si="2"/>
        <v>2.05429007706958</v>
      </c>
    </row>
    <row r="45" spans="1:17">
      <c r="A45">
        <v>5.29536642213116</v>
      </c>
      <c r="B45">
        <v>20.2268097975604</v>
      </c>
      <c r="C45">
        <v>7.75235112116491</v>
      </c>
      <c r="D45">
        <v>5.81426334087368</v>
      </c>
      <c r="E45">
        <v>3.87617556058246</v>
      </c>
      <c r="F45">
        <v>45</v>
      </c>
      <c r="H45">
        <v>12.6236072600496</v>
      </c>
      <c r="I45">
        <v>48.218627882103</v>
      </c>
      <c r="J45">
        <v>21.2610425277572</v>
      </c>
      <c r="K45">
        <v>15.9457818958179</v>
      </c>
      <c r="L45">
        <v>10.6305212638786</v>
      </c>
      <c r="M45">
        <v>45</v>
      </c>
      <c r="O45">
        <f t="shared" si="0"/>
        <v>0.300562077620299</v>
      </c>
      <c r="P45">
        <f t="shared" si="1"/>
        <v>0.623118620927503</v>
      </c>
      <c r="Q45">
        <f t="shared" si="2"/>
        <v>2.07317778031429</v>
      </c>
    </row>
    <row r="46" spans="1:17">
      <c r="A46">
        <v>5.42144657503905</v>
      </c>
      <c r="B46">
        <v>20.7084005070262</v>
      </c>
      <c r="C46">
        <v>7.94403992895419</v>
      </c>
      <c r="D46">
        <v>5.95802994671564</v>
      </c>
      <c r="E46">
        <v>3.97201996447709</v>
      </c>
      <c r="F46">
        <v>45</v>
      </c>
      <c r="H46">
        <v>12.9241693376698</v>
      </c>
      <c r="I46">
        <v>49.3666904507245</v>
      </c>
      <c r="J46">
        <v>21.9027827485005</v>
      </c>
      <c r="K46">
        <v>16.4270870613754</v>
      </c>
      <c r="L46">
        <v>10.9513913742502</v>
      </c>
      <c r="M46">
        <v>45</v>
      </c>
      <c r="O46">
        <f t="shared" si="0"/>
        <v>0.300562077620201</v>
      </c>
      <c r="P46">
        <f t="shared" si="1"/>
        <v>0.641740220743298</v>
      </c>
      <c r="Q46">
        <f t="shared" si="2"/>
        <v>2.13513369958208</v>
      </c>
    </row>
    <row r="47" spans="1:17">
      <c r="A47">
        <v>5.54752672794693</v>
      </c>
      <c r="B47">
        <v>21.1899912164919</v>
      </c>
      <c r="C47">
        <v>8.13653973193692</v>
      </c>
      <c r="D47">
        <v>6.10240479895269</v>
      </c>
      <c r="E47">
        <v>4.06826986596846</v>
      </c>
      <c r="F47">
        <v>45</v>
      </c>
      <c r="H47">
        <v>13.22473141529</v>
      </c>
      <c r="I47">
        <v>50.514753019346</v>
      </c>
      <c r="J47">
        <v>22.5573323208693</v>
      </c>
      <c r="K47">
        <v>16.917999240652</v>
      </c>
      <c r="L47">
        <v>11.2786661604346</v>
      </c>
      <c r="M47">
        <v>45</v>
      </c>
      <c r="O47">
        <f t="shared" si="0"/>
        <v>0.300562077620199</v>
      </c>
      <c r="P47">
        <f t="shared" si="1"/>
        <v>0.654549572368801</v>
      </c>
      <c r="Q47">
        <f t="shared" si="2"/>
        <v>2.17775168960574</v>
      </c>
    </row>
    <row r="48" spans="1:17">
      <c r="A48">
        <v>5.67360688085481</v>
      </c>
      <c r="B48">
        <v>21.6715819259576</v>
      </c>
      <c r="C48">
        <v>8.32988031335018</v>
      </c>
      <c r="D48">
        <v>6.24741023501263</v>
      </c>
      <c r="E48">
        <v>4.16494015667509</v>
      </c>
      <c r="F48">
        <v>45</v>
      </c>
      <c r="H48">
        <v>13.5252934929102</v>
      </c>
      <c r="I48">
        <v>51.6628155879675</v>
      </c>
      <c r="J48">
        <v>23.2245775279203</v>
      </c>
      <c r="K48">
        <v>17.4184331459402</v>
      </c>
      <c r="L48">
        <v>11.6122887639601</v>
      </c>
      <c r="M48">
        <v>45</v>
      </c>
      <c r="O48">
        <f t="shared" si="0"/>
        <v>0.300562077620199</v>
      </c>
      <c r="P48">
        <f t="shared" si="1"/>
        <v>0.667245207051</v>
      </c>
      <c r="Q48">
        <f t="shared" si="2"/>
        <v>2.21999133202078</v>
      </c>
    </row>
    <row r="49" spans="1:17">
      <c r="A49">
        <v>5.7996870337627</v>
      </c>
      <c r="B49">
        <v>22.1531726354233</v>
      </c>
      <c r="C49">
        <v>8.5240915791417</v>
      </c>
      <c r="D49">
        <v>6.39306868435628</v>
      </c>
      <c r="E49">
        <v>4.26204578957085</v>
      </c>
      <c r="F49">
        <v>45</v>
      </c>
      <c r="H49">
        <v>13.8258555705305</v>
      </c>
      <c r="I49">
        <v>52.810878156589</v>
      </c>
      <c r="J49">
        <v>23.9141450742559</v>
      </c>
      <c r="K49">
        <v>17.9356088056919</v>
      </c>
      <c r="L49">
        <v>11.957072537128</v>
      </c>
      <c r="M49">
        <v>45</v>
      </c>
      <c r="O49">
        <f t="shared" si="0"/>
        <v>0.300562077620301</v>
      </c>
      <c r="P49">
        <f t="shared" si="1"/>
        <v>0.689567546335599</v>
      </c>
      <c r="Q49">
        <f t="shared" si="2"/>
        <v>2.29425998048472</v>
      </c>
    </row>
    <row r="50" spans="1:17">
      <c r="A50">
        <v>5.92576718667059</v>
      </c>
      <c r="B50">
        <v>22.6347633448891</v>
      </c>
      <c r="C50">
        <v>8.71920356100414</v>
      </c>
      <c r="D50">
        <v>6.5394026707531</v>
      </c>
      <c r="E50">
        <v>4.35960178050207</v>
      </c>
      <c r="F50">
        <v>45</v>
      </c>
      <c r="H50">
        <v>14.1264176481507</v>
      </c>
      <c r="I50">
        <v>53.9589407252105</v>
      </c>
      <c r="J50">
        <v>24.6146140778404</v>
      </c>
      <c r="K50">
        <v>18.4609605583803</v>
      </c>
      <c r="L50">
        <v>12.3073070389202</v>
      </c>
      <c r="M50">
        <v>45</v>
      </c>
      <c r="O50">
        <f t="shared" si="0"/>
        <v>0.300562077620199</v>
      </c>
      <c r="P50">
        <f t="shared" si="1"/>
        <v>0.700469003584502</v>
      </c>
      <c r="Q50">
        <f t="shared" si="2"/>
        <v>2.33053021569021</v>
      </c>
    </row>
    <row r="51" spans="1:17">
      <c r="A51">
        <v>6.05184733957847</v>
      </c>
      <c r="B51">
        <v>23.1163540543548</v>
      </c>
      <c r="C51">
        <v>8.91524641870883</v>
      </c>
      <c r="D51">
        <v>6.68643481403162</v>
      </c>
      <c r="E51">
        <v>4.45762320935441</v>
      </c>
      <c r="F51">
        <v>45</v>
      </c>
      <c r="H51">
        <v>14.4269797257709</v>
      </c>
      <c r="I51">
        <v>55.107003293832</v>
      </c>
      <c r="J51">
        <v>25.3363274012403</v>
      </c>
      <c r="K51">
        <v>19.0022455509302</v>
      </c>
      <c r="L51">
        <v>12.6681637006202</v>
      </c>
      <c r="M51">
        <v>45</v>
      </c>
      <c r="O51">
        <f t="shared" si="0"/>
        <v>0.300562077620201</v>
      </c>
      <c r="P51">
        <f t="shared" si="1"/>
        <v>0.7217133233999</v>
      </c>
      <c r="Q51">
        <f t="shared" si="2"/>
        <v>2.40121218589618</v>
      </c>
    </row>
    <row r="52" spans="1:17">
      <c r="A52">
        <v>6.17792749248635</v>
      </c>
      <c r="B52">
        <v>23.5979447638205</v>
      </c>
      <c r="C52">
        <v>9.11229886064565</v>
      </c>
      <c r="D52">
        <v>6.83422414548424</v>
      </c>
      <c r="E52">
        <v>4.55614943032283</v>
      </c>
      <c r="F52">
        <v>45</v>
      </c>
      <c r="H52">
        <v>14.7275418033912</v>
      </c>
      <c r="I52">
        <v>56.2550658624535</v>
      </c>
      <c r="J52">
        <v>26.0781625305039</v>
      </c>
      <c r="K52">
        <v>19.5586218978779</v>
      </c>
      <c r="L52">
        <v>13.039081265252</v>
      </c>
      <c r="M52">
        <v>45</v>
      </c>
      <c r="O52">
        <f t="shared" si="0"/>
        <v>0.300562077620299</v>
      </c>
      <c r="P52">
        <f t="shared" si="1"/>
        <v>0.741835129263599</v>
      </c>
      <c r="Q52">
        <f t="shared" si="2"/>
        <v>2.46815944026299</v>
      </c>
    </row>
    <row r="53" spans="1:17">
      <c r="A53">
        <v>6.30400764539424</v>
      </c>
      <c r="B53">
        <v>24.0795354732862</v>
      </c>
      <c r="C53">
        <v>9.31037331498903</v>
      </c>
      <c r="D53">
        <v>6.98277998624177</v>
      </c>
      <c r="E53">
        <v>4.65518665749452</v>
      </c>
      <c r="F53">
        <v>45</v>
      </c>
      <c r="H53">
        <v>15.0281038810114</v>
      </c>
      <c r="I53">
        <v>57.403128431075</v>
      </c>
      <c r="J53">
        <v>26.8352514003742</v>
      </c>
      <c r="K53">
        <v>20.1264385502807</v>
      </c>
      <c r="L53">
        <v>13.4176257001871</v>
      </c>
      <c r="M53">
        <v>45</v>
      </c>
      <c r="O53">
        <f t="shared" si="0"/>
        <v>0.300562077620201</v>
      </c>
      <c r="P53">
        <f t="shared" si="1"/>
        <v>0.757088869870302</v>
      </c>
      <c r="Q53">
        <f t="shared" si="2"/>
        <v>2.51891015614745</v>
      </c>
    </row>
    <row r="54" spans="1:17">
      <c r="A54">
        <v>6.43008779830212</v>
      </c>
      <c r="B54">
        <v>24.561126182752</v>
      </c>
      <c r="C54">
        <v>9.50946708593325</v>
      </c>
      <c r="D54">
        <v>7.13210031444994</v>
      </c>
      <c r="E54">
        <v>4.75473354296662</v>
      </c>
      <c r="F54">
        <v>45</v>
      </c>
      <c r="H54">
        <v>15.3286659586316</v>
      </c>
      <c r="I54">
        <v>58.5511909996965</v>
      </c>
      <c r="J54">
        <v>27.6158457531327</v>
      </c>
      <c r="K54">
        <v>20.7118843148495</v>
      </c>
      <c r="L54">
        <v>13.8079228765663</v>
      </c>
      <c r="M54">
        <v>45</v>
      </c>
      <c r="O54">
        <f t="shared" si="0"/>
        <v>0.300562077620199</v>
      </c>
      <c r="P54">
        <f t="shared" si="1"/>
        <v>0.780594352758499</v>
      </c>
      <c r="Q54">
        <f t="shared" si="2"/>
        <v>2.59711524134753</v>
      </c>
    </row>
    <row r="55" spans="1:17">
      <c r="A55">
        <v>6.55616795121001</v>
      </c>
      <c r="B55">
        <v>25.0427168922177</v>
      </c>
      <c r="C55">
        <v>9.70961018955511</v>
      </c>
      <c r="D55">
        <v>7.28220764216634</v>
      </c>
      <c r="E55">
        <v>4.85480509477756</v>
      </c>
      <c r="F55">
        <v>45</v>
      </c>
      <c r="H55">
        <v>15.6292280362518</v>
      </c>
      <c r="I55">
        <v>59.699253568318</v>
      </c>
      <c r="J55">
        <v>28.4210429537501</v>
      </c>
      <c r="K55">
        <v>21.3157822153126</v>
      </c>
      <c r="L55">
        <v>14.2105214768751</v>
      </c>
      <c r="M55">
        <v>45</v>
      </c>
      <c r="O55">
        <f t="shared" si="0"/>
        <v>0.300562077620199</v>
      </c>
      <c r="P55">
        <f t="shared" si="1"/>
        <v>0.8051972006174</v>
      </c>
      <c r="Q55">
        <f t="shared" si="2"/>
        <v>2.67897136921869</v>
      </c>
    </row>
    <row r="56" spans="1:17">
      <c r="A56">
        <v>6.6822481041179</v>
      </c>
      <c r="B56">
        <v>25.5243076016834</v>
      </c>
      <c r="C56">
        <v>9.9108328002036</v>
      </c>
      <c r="D56">
        <v>7.4331246001527</v>
      </c>
      <c r="E56">
        <v>4.9554164001018</v>
      </c>
      <c r="F56">
        <v>45</v>
      </c>
      <c r="H56">
        <v>15.9297901138721</v>
      </c>
      <c r="I56">
        <v>60.8473161369395</v>
      </c>
      <c r="J56">
        <v>29.2462729184262</v>
      </c>
      <c r="K56">
        <v>21.9347046888196</v>
      </c>
      <c r="L56">
        <v>14.6231364592131</v>
      </c>
      <c r="M56">
        <v>45</v>
      </c>
      <c r="O56">
        <f t="shared" si="0"/>
        <v>0.300562077620301</v>
      </c>
      <c r="P56">
        <f t="shared" si="1"/>
        <v>0.825229964676101</v>
      </c>
      <c r="Q56">
        <f t="shared" si="2"/>
        <v>2.74562237262218</v>
      </c>
    </row>
    <row r="57" spans="1:17">
      <c r="A57">
        <v>6.80832825702578</v>
      </c>
      <c r="B57">
        <v>26.0058983111491</v>
      </c>
      <c r="C57">
        <v>10.1131652513383</v>
      </c>
      <c r="D57">
        <v>7.58487393850371</v>
      </c>
      <c r="E57">
        <v>5.05658262566914</v>
      </c>
      <c r="F57">
        <v>45</v>
      </c>
      <c r="H57">
        <v>16.2303521914923</v>
      </c>
      <c r="I57">
        <v>61.995378705561</v>
      </c>
      <c r="J57">
        <v>30.0935348433416</v>
      </c>
      <c r="K57">
        <v>22.5701511325062</v>
      </c>
      <c r="L57">
        <v>15.0467674216708</v>
      </c>
      <c r="M57">
        <v>45</v>
      </c>
      <c r="O57">
        <f t="shared" si="0"/>
        <v>0.300562077620201</v>
      </c>
      <c r="P57">
        <f t="shared" si="1"/>
        <v>0.847261924915401</v>
      </c>
      <c r="Q57">
        <f t="shared" si="2"/>
        <v>2.81892490105164</v>
      </c>
    </row>
    <row r="58" spans="1:17">
      <c r="A58">
        <v>6.93440840993366</v>
      </c>
      <c r="B58">
        <v>26.4874890206149</v>
      </c>
      <c r="C58">
        <v>10.3166380367347</v>
      </c>
      <c r="D58">
        <v>7.73747852755102</v>
      </c>
      <c r="E58">
        <v>5.15831901836735</v>
      </c>
      <c r="F58">
        <v>45</v>
      </c>
      <c r="H58">
        <v>16.5309142691125</v>
      </c>
      <c r="I58">
        <v>63.1434412741825</v>
      </c>
      <c r="J58">
        <v>30.9703919126939</v>
      </c>
      <c r="K58">
        <v>23.2277939345205</v>
      </c>
      <c r="L58">
        <v>15.485195956347</v>
      </c>
      <c r="M58">
        <v>45</v>
      </c>
      <c r="O58">
        <f t="shared" si="0"/>
        <v>0.300562077620199</v>
      </c>
      <c r="P58">
        <f t="shared" si="1"/>
        <v>0.876857069352297</v>
      </c>
      <c r="Q58">
        <f t="shared" si="2"/>
        <v>2.91739089739832</v>
      </c>
    </row>
    <row r="59" spans="1:17">
      <c r="A59">
        <v>7.06048856284155</v>
      </c>
      <c r="B59">
        <v>26.9690797300806</v>
      </c>
      <c r="C59">
        <v>10.5212818122261</v>
      </c>
      <c r="D59">
        <v>7.89096135916958</v>
      </c>
      <c r="E59">
        <v>5.26064090611306</v>
      </c>
      <c r="F59">
        <v>45</v>
      </c>
      <c r="H59">
        <v>16.8314763467328</v>
      </c>
      <c r="I59">
        <v>64.291503842804</v>
      </c>
      <c r="J59">
        <v>31.8759253015704</v>
      </c>
      <c r="K59">
        <v>23.9069439761778</v>
      </c>
      <c r="L59">
        <v>15.9379626507852</v>
      </c>
      <c r="M59">
        <v>45</v>
      </c>
      <c r="O59">
        <f t="shared" si="0"/>
        <v>0.300562077620299</v>
      </c>
      <c r="P59">
        <f t="shared" si="1"/>
        <v>0.905533388876503</v>
      </c>
      <c r="Q59">
        <f t="shared" si="2"/>
        <v>3.01279987164737</v>
      </c>
    </row>
    <row r="60" spans="1:17">
      <c r="A60">
        <v>7.18656871574943</v>
      </c>
      <c r="B60">
        <v>27.4506704395463</v>
      </c>
      <c r="C60">
        <v>10.7271273981587</v>
      </c>
      <c r="D60">
        <v>8.04534554861905</v>
      </c>
      <c r="E60">
        <v>5.36356369907936</v>
      </c>
      <c r="F60">
        <v>45</v>
      </c>
      <c r="H60">
        <v>17.132038424353</v>
      </c>
      <c r="I60">
        <v>65.4395664114255</v>
      </c>
      <c r="J60">
        <v>32.8087470980404</v>
      </c>
      <c r="K60">
        <v>24.6065603235303</v>
      </c>
      <c r="L60">
        <v>16.4043735490202</v>
      </c>
      <c r="M60">
        <v>45</v>
      </c>
      <c r="O60">
        <f t="shared" si="0"/>
        <v>0.300562077620199</v>
      </c>
      <c r="P60">
        <f t="shared" si="1"/>
        <v>0.932821796469998</v>
      </c>
      <c r="Q60">
        <f t="shared" si="2"/>
        <v>3.10359112452218</v>
      </c>
    </row>
    <row r="61" spans="1:17">
      <c r="A61">
        <v>7.31264886865732</v>
      </c>
      <c r="B61">
        <v>27.932261149012</v>
      </c>
      <c r="C61">
        <v>10.9342057827479</v>
      </c>
      <c r="D61">
        <v>8.20065433706095</v>
      </c>
      <c r="E61">
        <v>5.46710289137396</v>
      </c>
      <c r="F61">
        <v>45</v>
      </c>
      <c r="H61">
        <v>17.4326005019732</v>
      </c>
      <c r="I61">
        <v>66.587628980047</v>
      </c>
      <c r="J61">
        <v>33.7710675465669</v>
      </c>
      <c r="K61">
        <v>25.3283006599252</v>
      </c>
      <c r="L61">
        <v>16.8855337732834</v>
      </c>
      <c r="M61">
        <v>45</v>
      </c>
      <c r="O61">
        <f t="shared" si="0"/>
        <v>0.300562077620203</v>
      </c>
      <c r="P61">
        <f t="shared" si="1"/>
        <v>0.962320448526498</v>
      </c>
      <c r="Q61">
        <f t="shared" si="2"/>
        <v>3.20173608109839</v>
      </c>
    </row>
    <row r="62" spans="1:17">
      <c r="A62">
        <v>7.4387290215652</v>
      </c>
      <c r="B62">
        <v>28.4138518584778</v>
      </c>
      <c r="C62">
        <v>11.1425481265368</v>
      </c>
      <c r="D62">
        <v>8.35691109490257</v>
      </c>
      <c r="E62">
        <v>5.57127406326838</v>
      </c>
      <c r="F62">
        <v>45</v>
      </c>
      <c r="H62">
        <v>17.7331625795934</v>
      </c>
      <c r="I62">
        <v>67.7356915486685</v>
      </c>
      <c r="J62">
        <v>34.7651527121206</v>
      </c>
      <c r="K62">
        <v>26.0738645340904</v>
      </c>
      <c r="L62">
        <v>17.3825763560603</v>
      </c>
      <c r="M62">
        <v>45</v>
      </c>
      <c r="O62">
        <f t="shared" si="0"/>
        <v>0.300562077620199</v>
      </c>
      <c r="P62">
        <f t="shared" si="1"/>
        <v>0.994085165553706</v>
      </c>
      <c r="Q62">
        <f t="shared" si="2"/>
        <v>3.30742046177185</v>
      </c>
    </row>
    <row r="63" spans="1:17">
      <c r="A63">
        <v>7.56480917447309</v>
      </c>
      <c r="B63">
        <v>28.8954425679435</v>
      </c>
      <c r="C63">
        <v>11.3521857681749</v>
      </c>
      <c r="D63">
        <v>8.51413932613116</v>
      </c>
      <c r="E63">
        <v>5.67609288408744</v>
      </c>
      <c r="F63">
        <v>45</v>
      </c>
      <c r="H63">
        <v>18.0337246572137</v>
      </c>
      <c r="I63">
        <v>68.88375411729</v>
      </c>
      <c r="J63">
        <v>35.7933159431132</v>
      </c>
      <c r="K63">
        <v>26.8449869573349</v>
      </c>
      <c r="L63">
        <v>17.8966579715566</v>
      </c>
      <c r="M63">
        <v>45</v>
      </c>
      <c r="O63">
        <f t="shared" si="0"/>
        <v>0.300562077620299</v>
      </c>
      <c r="P63">
        <f t="shared" si="1"/>
        <v>1.0281632309926</v>
      </c>
      <c r="Q63">
        <f t="shared" si="2"/>
        <v>3.42080158326387</v>
      </c>
    </row>
    <row r="64" spans="1:17">
      <c r="A64">
        <v>7.69088932738097</v>
      </c>
      <c r="B64">
        <v>29.3770332774092</v>
      </c>
      <c r="C64">
        <v>11.5631502317553</v>
      </c>
      <c r="D64">
        <v>8.67236267381644</v>
      </c>
      <c r="E64">
        <v>5.78157511587763</v>
      </c>
      <c r="F64">
        <v>45</v>
      </c>
      <c r="H64">
        <v>18.3342867348339</v>
      </c>
      <c r="I64">
        <v>70.0318166859115</v>
      </c>
      <c r="J64">
        <v>36.8579085357569</v>
      </c>
      <c r="K64">
        <v>27.6434314018177</v>
      </c>
      <c r="L64">
        <v>18.4289542678785</v>
      </c>
      <c r="M64">
        <v>45</v>
      </c>
      <c r="O64">
        <f t="shared" si="0"/>
        <v>0.300562077620199</v>
      </c>
      <c r="P64">
        <f t="shared" si="1"/>
        <v>1.0645925926437</v>
      </c>
      <c r="Q64">
        <f t="shared" si="2"/>
        <v>3.54200570169386</v>
      </c>
    </row>
    <row r="65" spans="1:17">
      <c r="A65">
        <v>7.81696948028886</v>
      </c>
      <c r="B65">
        <v>29.8586239868749</v>
      </c>
      <c r="C65">
        <v>11.7754732359719</v>
      </c>
      <c r="D65">
        <v>8.83160492697896</v>
      </c>
      <c r="E65">
        <v>5.88773661798597</v>
      </c>
      <c r="F65">
        <v>45</v>
      </c>
      <c r="H65">
        <v>18.6348488124541</v>
      </c>
      <c r="I65">
        <v>71.179879254533</v>
      </c>
      <c r="J65">
        <v>37.9613090077782</v>
      </c>
      <c r="K65">
        <v>28.4709817558336</v>
      </c>
      <c r="L65">
        <v>18.9806545038891</v>
      </c>
      <c r="M65">
        <v>45</v>
      </c>
      <c r="O65">
        <f t="shared" si="0"/>
        <v>0.300562077620199</v>
      </c>
      <c r="P65">
        <f t="shared" si="1"/>
        <v>1.1034004720213</v>
      </c>
      <c r="Q65">
        <f t="shared" si="2"/>
        <v>3.67112338575059</v>
      </c>
    </row>
    <row r="66" spans="1:17">
      <c r="A66">
        <v>7.94304963319674</v>
      </c>
      <c r="B66">
        <v>30.3402146963407</v>
      </c>
      <c r="C66">
        <v>11.9891867053918</v>
      </c>
      <c r="D66">
        <v>8.99189002904387</v>
      </c>
      <c r="E66">
        <v>5.99459335269591</v>
      </c>
      <c r="F66">
        <v>45</v>
      </c>
      <c r="H66">
        <v>18.9354108900744</v>
      </c>
      <c r="I66">
        <v>72.3279418231545</v>
      </c>
      <c r="J66">
        <v>39.1059105211176</v>
      </c>
      <c r="K66">
        <v>29.3294328908382</v>
      </c>
      <c r="L66">
        <v>19.5529552605588</v>
      </c>
      <c r="M66">
        <v>45</v>
      </c>
      <c r="O66">
        <f t="shared" si="0"/>
        <v>0.300562077620302</v>
      </c>
      <c r="P66">
        <f t="shared" si="1"/>
        <v>1.1446015133394</v>
      </c>
      <c r="Q66">
        <f t="shared" si="2"/>
        <v>3.808203358194</v>
      </c>
    </row>
    <row r="67" spans="1:17">
      <c r="A67">
        <v>8.06912978610463</v>
      </c>
      <c r="B67">
        <v>30.8218054058064</v>
      </c>
      <c r="C67">
        <v>12.2043227841684</v>
      </c>
      <c r="D67">
        <v>9.15324208812626</v>
      </c>
      <c r="E67">
        <v>6.10216139208418</v>
      </c>
      <c r="F67">
        <v>45</v>
      </c>
      <c r="H67">
        <v>19.2359729676946</v>
      </c>
      <c r="I67">
        <v>73.476004391776</v>
      </c>
      <c r="J67">
        <v>40.294106136566</v>
      </c>
      <c r="K67">
        <v>30.2205796024245</v>
      </c>
      <c r="L67">
        <v>20.147053068283</v>
      </c>
      <c r="M67">
        <v>45</v>
      </c>
      <c r="O67">
        <f t="shared" si="0"/>
        <v>0.300562077620199</v>
      </c>
      <c r="P67">
        <f t="shared" si="1"/>
        <v>1.1881956154484</v>
      </c>
      <c r="Q67">
        <f t="shared" si="2"/>
        <v>3.95324528249317</v>
      </c>
    </row>
    <row r="68" spans="1:17">
      <c r="A68">
        <v>8.19520993901251</v>
      </c>
      <c r="B68">
        <v>31.3033961152721</v>
      </c>
      <c r="C68">
        <v>12.4209138525702</v>
      </c>
      <c r="D68">
        <v>9.31568538942761</v>
      </c>
      <c r="E68">
        <v>6.21045692628508</v>
      </c>
      <c r="F68">
        <v>45</v>
      </c>
      <c r="H68">
        <v>19.5365350453148</v>
      </c>
      <c r="I68">
        <v>74.6240669603975</v>
      </c>
      <c r="J68">
        <v>41.5282717247214</v>
      </c>
      <c r="K68">
        <v>31.1462037935411</v>
      </c>
      <c r="L68">
        <v>20.7641358623607</v>
      </c>
      <c r="M68">
        <v>45</v>
      </c>
      <c r="O68">
        <f t="shared" ref="O68:O102" si="3">H68-H67</f>
        <v>0.300562077620199</v>
      </c>
      <c r="P68">
        <f t="shared" ref="P68:P102" si="4">J68-J67</f>
        <v>1.2341655881554</v>
      </c>
      <c r="Q68">
        <f t="shared" ref="Q68:Q102" si="5">P68/O68</f>
        <v>4.10619196515847</v>
      </c>
    </row>
    <row r="69" spans="1:17">
      <c r="A69">
        <v>8.32129009192039</v>
      </c>
      <c r="B69">
        <v>31.7849868247378</v>
      </c>
      <c r="C69">
        <v>12.6389925467487</v>
      </c>
      <c r="D69">
        <v>9.47924441006156</v>
      </c>
      <c r="E69">
        <v>6.31949627337437</v>
      </c>
      <c r="F69">
        <v>45</v>
      </c>
      <c r="H69">
        <v>19.837097122935</v>
      </c>
      <c r="I69">
        <v>75.772129529019</v>
      </c>
      <c r="J69">
        <v>42.8107464793642</v>
      </c>
      <c r="K69">
        <v>32.1080598595231</v>
      </c>
      <c r="L69">
        <v>21.4053732396821</v>
      </c>
      <c r="M69">
        <v>45</v>
      </c>
      <c r="O69">
        <f t="shared" si="3"/>
        <v>0.300562077620199</v>
      </c>
      <c r="P69">
        <f t="shared" si="4"/>
        <v>1.2824747546428</v>
      </c>
      <c r="Q69">
        <f t="shared" si="5"/>
        <v>4.26692137876215</v>
      </c>
    </row>
    <row r="70" spans="1:17">
      <c r="A70">
        <v>8.44737024482828</v>
      </c>
      <c r="B70">
        <v>32.2665775342036</v>
      </c>
      <c r="C70">
        <v>12.8585917822323</v>
      </c>
      <c r="D70">
        <v>9.64394383667422</v>
      </c>
      <c r="E70">
        <v>6.42929589111615</v>
      </c>
      <c r="F70">
        <v>45</v>
      </c>
      <c r="H70">
        <v>20.1376592005553</v>
      </c>
      <c r="I70">
        <v>76.9201920976405</v>
      </c>
      <c r="J70">
        <v>44.1438110613004</v>
      </c>
      <c r="K70">
        <v>33.1078582959753</v>
      </c>
      <c r="L70">
        <v>22.0719055306502</v>
      </c>
      <c r="M70">
        <v>45</v>
      </c>
      <c r="O70">
        <f t="shared" si="3"/>
        <v>0.300562077620302</v>
      </c>
      <c r="P70">
        <f t="shared" si="4"/>
        <v>1.3330645819362</v>
      </c>
      <c r="Q70">
        <f t="shared" si="5"/>
        <v>4.4352387782608</v>
      </c>
    </row>
    <row r="71" spans="1:17">
      <c r="A71">
        <v>8.57345039773617</v>
      </c>
      <c r="B71">
        <v>32.7481682436693</v>
      </c>
      <c r="C71">
        <v>13.0797447817094</v>
      </c>
      <c r="D71">
        <v>9.80980858628204</v>
      </c>
      <c r="E71">
        <v>6.53987239085469</v>
      </c>
      <c r="F71">
        <v>45</v>
      </c>
      <c r="H71">
        <v>20.4382212781755</v>
      </c>
      <c r="I71">
        <v>78.068254666262</v>
      </c>
      <c r="J71">
        <v>45.5296634241234</v>
      </c>
      <c r="K71">
        <v>34.1472475680925</v>
      </c>
      <c r="L71">
        <v>22.7648317120617</v>
      </c>
      <c r="M71">
        <v>45</v>
      </c>
      <c r="O71">
        <f t="shared" si="3"/>
        <v>0.300562077620199</v>
      </c>
      <c r="P71">
        <f t="shared" si="4"/>
        <v>1.385852362823</v>
      </c>
      <c r="Q71">
        <f t="shared" si="5"/>
        <v>4.61086898851628</v>
      </c>
    </row>
    <row r="72" spans="1:17">
      <c r="A72">
        <v>8.69953055064405</v>
      </c>
      <c r="B72">
        <v>33.229758953135</v>
      </c>
      <c r="C72">
        <v>13.3024851077575</v>
      </c>
      <c r="D72">
        <v>9.9768638308181</v>
      </c>
      <c r="E72">
        <v>6.65124255387874</v>
      </c>
      <c r="F72">
        <v>45</v>
      </c>
      <c r="H72">
        <v>20.7387833557957</v>
      </c>
      <c r="I72">
        <v>79.2163172348835</v>
      </c>
      <c r="J72">
        <v>46.9801341601422</v>
      </c>
      <c r="K72">
        <v>35.2351006201066</v>
      </c>
      <c r="L72">
        <v>23.4900670800711</v>
      </c>
      <c r="M72">
        <v>45</v>
      </c>
      <c r="O72">
        <f t="shared" si="3"/>
        <v>0.300562077620199</v>
      </c>
      <c r="P72">
        <f t="shared" si="4"/>
        <v>1.4504707360188</v>
      </c>
      <c r="Q72">
        <f t="shared" si="5"/>
        <v>4.82586075895997</v>
      </c>
    </row>
    <row r="73" spans="1:17">
      <c r="A73">
        <v>8.82561070355194</v>
      </c>
      <c r="B73">
        <v>33.7113496626007</v>
      </c>
      <c r="C73">
        <v>13.5268467012831</v>
      </c>
      <c r="D73">
        <v>10.1451350259623</v>
      </c>
      <c r="E73">
        <v>6.76342335064154</v>
      </c>
      <c r="F73">
        <v>45</v>
      </c>
      <c r="H73">
        <v>21.039345433416</v>
      </c>
      <c r="I73">
        <v>80.3643798035051</v>
      </c>
      <c r="J73">
        <v>48.4896074667817</v>
      </c>
      <c r="K73">
        <v>36.3672056000862</v>
      </c>
      <c r="L73">
        <v>24.2448037333908</v>
      </c>
      <c r="M73">
        <v>45</v>
      </c>
      <c r="O73">
        <f t="shared" si="3"/>
        <v>0.300562077620299</v>
      </c>
      <c r="P73">
        <f t="shared" si="4"/>
        <v>1.5094733066395</v>
      </c>
      <c r="Q73">
        <f t="shared" si="5"/>
        <v>5.02216819430701</v>
      </c>
    </row>
    <row r="74" spans="1:17">
      <c r="A74">
        <v>8.95169085645982</v>
      </c>
      <c r="B74">
        <v>34.1929403720664</v>
      </c>
      <c r="C74">
        <v>13.752863926577</v>
      </c>
      <c r="D74">
        <v>10.3146479449328</v>
      </c>
      <c r="E74">
        <v>6.87643196328851</v>
      </c>
      <c r="F74">
        <v>45</v>
      </c>
      <c r="H74">
        <v>21.3399075110362</v>
      </c>
      <c r="I74">
        <v>81.5124423721265</v>
      </c>
      <c r="J74">
        <v>50.0606752787515</v>
      </c>
      <c r="K74">
        <v>37.5455064590636</v>
      </c>
      <c r="L74">
        <v>25.0303376393758</v>
      </c>
      <c r="M74">
        <v>45</v>
      </c>
      <c r="O74">
        <f t="shared" si="3"/>
        <v>0.300562077620199</v>
      </c>
      <c r="P74">
        <f t="shared" si="4"/>
        <v>1.5710678119698</v>
      </c>
      <c r="Q74">
        <f t="shared" si="5"/>
        <v>5.22709925486694</v>
      </c>
    </row>
    <row r="75" spans="1:17">
      <c r="A75">
        <v>9.0777710093677</v>
      </c>
      <c r="B75">
        <v>34.6745310815322</v>
      </c>
      <c r="C75">
        <v>13.980571624053</v>
      </c>
      <c r="D75">
        <v>10.4854287180397</v>
      </c>
      <c r="E75">
        <v>6.99028581202648</v>
      </c>
      <c r="F75">
        <v>45</v>
      </c>
      <c r="H75">
        <v>21.6404695886564</v>
      </c>
      <c r="I75">
        <v>82.660504940748</v>
      </c>
      <c r="J75">
        <v>51.7063288398132</v>
      </c>
      <c r="K75">
        <v>38.7797466298599</v>
      </c>
      <c r="L75">
        <v>25.8531644199066</v>
      </c>
      <c r="M75">
        <v>45</v>
      </c>
      <c r="O75">
        <f t="shared" si="3"/>
        <v>0.300562077620203</v>
      </c>
      <c r="P75">
        <f t="shared" si="4"/>
        <v>1.6456535610617</v>
      </c>
      <c r="Q75">
        <f t="shared" si="5"/>
        <v>5.47525347872124</v>
      </c>
    </row>
    <row r="76" spans="1:17">
      <c r="A76">
        <v>9.20385116227559</v>
      </c>
      <c r="B76">
        <v>35.1561217909979</v>
      </c>
      <c r="C76">
        <v>14.2100051719437</v>
      </c>
      <c r="D76">
        <v>10.6575038789578</v>
      </c>
      <c r="E76">
        <v>7.10500258597186</v>
      </c>
      <c r="F76">
        <v>45</v>
      </c>
      <c r="H76">
        <v>21.9410316662766</v>
      </c>
      <c r="I76">
        <v>83.8085675093696</v>
      </c>
      <c r="J76">
        <v>53.4175689869886</v>
      </c>
      <c r="K76">
        <v>40.0631767402415</v>
      </c>
      <c r="L76">
        <v>26.7087844934943</v>
      </c>
      <c r="M76">
        <v>45</v>
      </c>
      <c r="O76">
        <f t="shared" si="3"/>
        <v>0.300562077620199</v>
      </c>
      <c r="P76">
        <f t="shared" si="4"/>
        <v>1.7112401471754</v>
      </c>
      <c r="Q76">
        <f t="shared" si="5"/>
        <v>5.6934665900792</v>
      </c>
    </row>
    <row r="77" spans="1:17">
      <c r="A77">
        <v>9.32993131518347</v>
      </c>
      <c r="B77">
        <v>35.6377125004636</v>
      </c>
      <c r="C77">
        <v>14.4413224246306</v>
      </c>
      <c r="D77">
        <v>10.8309918184729</v>
      </c>
      <c r="E77">
        <v>7.22066121231529</v>
      </c>
      <c r="F77">
        <v>45</v>
      </c>
      <c r="H77">
        <v>22.2415937438969</v>
      </c>
      <c r="I77">
        <v>84.9566300779911</v>
      </c>
      <c r="J77">
        <v>55.2079707042472</v>
      </c>
      <c r="K77">
        <v>41.4059780281854</v>
      </c>
      <c r="L77">
        <v>27.6039853521236</v>
      </c>
      <c r="M77">
        <v>45</v>
      </c>
      <c r="O77">
        <f t="shared" si="3"/>
        <v>0.300562077620299</v>
      </c>
      <c r="P77">
        <f t="shared" si="4"/>
        <v>1.7904017172586</v>
      </c>
      <c r="Q77">
        <f t="shared" si="5"/>
        <v>5.9568450266052</v>
      </c>
    </row>
    <row r="78" spans="1:17">
      <c r="A78">
        <v>9.45601146809136</v>
      </c>
      <c r="B78">
        <v>36.1193032099294</v>
      </c>
      <c r="C78">
        <v>14.6744680786222</v>
      </c>
      <c r="D78">
        <v>11.0058510589667</v>
      </c>
      <c r="E78">
        <v>7.33723403931112</v>
      </c>
      <c r="F78">
        <v>45</v>
      </c>
      <c r="H78">
        <v>22.5421558215171</v>
      </c>
      <c r="I78">
        <v>86.1046926466125</v>
      </c>
      <c r="J78">
        <v>57.0726006962299</v>
      </c>
      <c r="K78">
        <v>42.8044505221724</v>
      </c>
      <c r="L78">
        <v>28.5363003481149</v>
      </c>
      <c r="M78">
        <v>45</v>
      </c>
      <c r="O78">
        <f t="shared" si="3"/>
        <v>0.300562077620199</v>
      </c>
      <c r="P78">
        <f t="shared" si="4"/>
        <v>1.8646299919827</v>
      </c>
      <c r="Q78">
        <f t="shared" si="5"/>
        <v>6.20380989759762</v>
      </c>
    </row>
    <row r="79" spans="1:17">
      <c r="A79">
        <v>9.58209162099925</v>
      </c>
      <c r="B79">
        <v>36.6008939193951</v>
      </c>
      <c r="C79">
        <v>14.9094650378946</v>
      </c>
      <c r="D79">
        <v>11.1820987784209</v>
      </c>
      <c r="E79">
        <v>7.4547325189473</v>
      </c>
      <c r="F79">
        <v>45</v>
      </c>
      <c r="H79">
        <v>22.8427178991373</v>
      </c>
      <c r="I79">
        <v>87.252755215234</v>
      </c>
      <c r="J79">
        <v>59.0126860303279</v>
      </c>
      <c r="K79">
        <v>44.2595145227459</v>
      </c>
      <c r="L79">
        <v>29.5063430151639</v>
      </c>
      <c r="M79">
        <v>45</v>
      </c>
      <c r="O79">
        <f t="shared" si="3"/>
        <v>0.300562077620199</v>
      </c>
      <c r="P79">
        <f t="shared" si="4"/>
        <v>1.940085334098</v>
      </c>
      <c r="Q79">
        <f t="shared" si="5"/>
        <v>6.45485734414426</v>
      </c>
    </row>
    <row r="80" spans="1:17">
      <c r="A80">
        <v>9.70817177390713</v>
      </c>
      <c r="B80">
        <v>37.0824846288608</v>
      </c>
      <c r="C80">
        <v>15.1463522716249</v>
      </c>
      <c r="D80">
        <v>11.3597642037187</v>
      </c>
      <c r="E80">
        <v>7.57317613581243</v>
      </c>
      <c r="F80">
        <v>45</v>
      </c>
      <c r="H80">
        <v>23.1432799767575</v>
      </c>
      <c r="I80">
        <v>88.4008177838555</v>
      </c>
      <c r="J80">
        <v>61.0311198540233</v>
      </c>
      <c r="K80">
        <v>45.7733398905175</v>
      </c>
      <c r="L80">
        <v>30.5155599270116</v>
      </c>
      <c r="M80">
        <v>45</v>
      </c>
      <c r="O80">
        <f t="shared" si="3"/>
        <v>0.300562077620203</v>
      </c>
      <c r="P80">
        <f t="shared" si="4"/>
        <v>2.0184338236954</v>
      </c>
      <c r="Q80">
        <f t="shared" si="5"/>
        <v>6.71553058082711</v>
      </c>
    </row>
    <row r="81" spans="1:17">
      <c r="A81">
        <v>9.83425192681501</v>
      </c>
      <c r="B81">
        <v>37.5640753383265</v>
      </c>
      <c r="C81">
        <v>15.3851698549903</v>
      </c>
      <c r="D81">
        <v>11.5388773912427</v>
      </c>
      <c r="E81">
        <v>7.69258492749514</v>
      </c>
      <c r="F81">
        <v>45</v>
      </c>
      <c r="H81">
        <v>23.4438420543778</v>
      </c>
      <c r="I81">
        <v>89.548880352477</v>
      </c>
      <c r="J81">
        <v>63.1255371748255</v>
      </c>
      <c r="K81">
        <v>47.3441528811192</v>
      </c>
      <c r="L81">
        <v>31.5627685874128</v>
      </c>
      <c r="M81">
        <v>45</v>
      </c>
      <c r="O81">
        <f t="shared" si="3"/>
        <v>0.300562077620299</v>
      </c>
      <c r="P81">
        <f t="shared" si="4"/>
        <v>2.0944173208022</v>
      </c>
      <c r="Q81">
        <f t="shared" si="5"/>
        <v>6.96833525168829</v>
      </c>
    </row>
    <row r="82" spans="1:17">
      <c r="A82">
        <v>9.9603320797229</v>
      </c>
      <c r="B82">
        <v>38.0456660477923</v>
      </c>
      <c r="C82">
        <v>15.6259591459774</v>
      </c>
      <c r="D82">
        <v>11.7194693594831</v>
      </c>
      <c r="E82">
        <v>7.8129795729887</v>
      </c>
      <c r="F82">
        <v>45</v>
      </c>
      <c r="H82">
        <v>23.744404131998</v>
      </c>
      <c r="I82">
        <v>90.6969429210985</v>
      </c>
      <c r="J82">
        <v>65.290019519097</v>
      </c>
      <c r="K82">
        <v>48.9675146393228</v>
      </c>
      <c r="L82">
        <v>32.6450097595485</v>
      </c>
      <c r="M82">
        <v>45</v>
      </c>
      <c r="O82">
        <f t="shared" si="3"/>
        <v>0.300562077620199</v>
      </c>
      <c r="P82">
        <f t="shared" si="4"/>
        <v>2.1644823442715</v>
      </c>
      <c r="Q82">
        <f t="shared" si="5"/>
        <v>7.20144857065638</v>
      </c>
    </row>
    <row r="83" spans="1:17">
      <c r="A83">
        <v>10.0864122326308</v>
      </c>
      <c r="B83">
        <v>38.527256757258</v>
      </c>
      <c r="C83">
        <v>15.8687629956383</v>
      </c>
      <c r="D83">
        <v>11.9015722467287</v>
      </c>
      <c r="E83">
        <v>7.93438149781917</v>
      </c>
      <c r="F83">
        <v>45</v>
      </c>
      <c r="H83">
        <v>24.0449662096182</v>
      </c>
      <c r="I83">
        <v>91.84500548972</v>
      </c>
      <c r="J83">
        <v>67.5190404008656</v>
      </c>
      <c r="K83">
        <v>50.6392803006492</v>
      </c>
      <c r="L83">
        <v>33.7595202004328</v>
      </c>
      <c r="M83">
        <v>45</v>
      </c>
      <c r="O83">
        <f t="shared" si="3"/>
        <v>0.300562077620199</v>
      </c>
      <c r="P83">
        <f t="shared" si="4"/>
        <v>2.2290208817686</v>
      </c>
      <c r="Q83">
        <f t="shared" si="5"/>
        <v>7.41617471977045</v>
      </c>
    </row>
    <row r="84" spans="1:17">
      <c r="A84">
        <v>10.2124923855387</v>
      </c>
      <c r="B84">
        <v>39.0088474667237</v>
      </c>
      <c r="C84">
        <v>16.1136259993002</v>
      </c>
      <c r="D84">
        <v>12.0852194994752</v>
      </c>
      <c r="E84">
        <v>8.05681299965012</v>
      </c>
      <c r="F84">
        <v>45</v>
      </c>
      <c r="H84">
        <v>24.3455282872385</v>
      </c>
      <c r="I84">
        <v>92.9930680583415</v>
      </c>
      <c r="J84">
        <v>69.8052531142561</v>
      </c>
      <c r="K84">
        <v>52.3539398356921</v>
      </c>
      <c r="L84">
        <v>34.902626557128</v>
      </c>
      <c r="M84">
        <v>45</v>
      </c>
      <c r="O84">
        <f t="shared" si="3"/>
        <v>0.300562077620302</v>
      </c>
      <c r="P84">
        <f t="shared" si="4"/>
        <v>2.2862127133905</v>
      </c>
      <c r="Q84">
        <f t="shared" si="5"/>
        <v>7.60645764592648</v>
      </c>
    </row>
    <row r="85" spans="1:17">
      <c r="A85">
        <v>10.3385725384466</v>
      </c>
      <c r="B85">
        <v>39.4904381761894</v>
      </c>
      <c r="C85">
        <v>16.3608032491964</v>
      </c>
      <c r="D85">
        <v>12.2706024368973</v>
      </c>
      <c r="E85">
        <v>8.18040162459819</v>
      </c>
      <c r="F85">
        <v>45</v>
      </c>
      <c r="H85">
        <v>24.6460903648587</v>
      </c>
      <c r="I85">
        <v>94.1411306269631</v>
      </c>
      <c r="J85">
        <v>72.1401281863197</v>
      </c>
      <c r="K85">
        <v>54.1050961397397</v>
      </c>
      <c r="L85">
        <v>36.0700640931598</v>
      </c>
      <c r="M85">
        <v>45</v>
      </c>
      <c r="O85">
        <f t="shared" si="3"/>
        <v>0.300562077620199</v>
      </c>
      <c r="P85">
        <f t="shared" si="4"/>
        <v>2.3348750720636</v>
      </c>
      <c r="Q85">
        <f t="shared" si="5"/>
        <v>7.76836216514987</v>
      </c>
    </row>
    <row r="86" spans="1:17">
      <c r="A86">
        <v>10.4646526913544</v>
      </c>
      <c r="B86">
        <v>39.9720288856552</v>
      </c>
      <c r="C86">
        <v>16.6102140412179</v>
      </c>
      <c r="D86">
        <v>12.4576605309134</v>
      </c>
      <c r="E86">
        <v>8.30510702060894</v>
      </c>
      <c r="F86">
        <v>45</v>
      </c>
      <c r="H86">
        <v>24.9466524424789</v>
      </c>
      <c r="I86">
        <v>95.2891931955846</v>
      </c>
      <c r="J86">
        <v>74.5149902493477</v>
      </c>
      <c r="K86">
        <v>55.8862426870108</v>
      </c>
      <c r="L86">
        <v>37.2574951246738</v>
      </c>
      <c r="M86">
        <v>45</v>
      </c>
      <c r="O86">
        <f t="shared" si="3"/>
        <v>0.300562077620199</v>
      </c>
      <c r="P86">
        <f t="shared" si="4"/>
        <v>2.374862063028</v>
      </c>
      <c r="Q86">
        <f t="shared" si="5"/>
        <v>7.90140287102008</v>
      </c>
    </row>
    <row r="87" spans="1:17">
      <c r="A87">
        <v>10.5907328442623</v>
      </c>
      <c r="B87">
        <v>40.4536195951209</v>
      </c>
      <c r="C87">
        <v>16.8618541982129</v>
      </c>
      <c r="D87">
        <v>12.6463906486597</v>
      </c>
      <c r="E87">
        <v>8.43092709910646</v>
      </c>
      <c r="F87">
        <v>45</v>
      </c>
      <c r="H87">
        <v>25.2472145200991</v>
      </c>
      <c r="I87">
        <v>96.437255764206</v>
      </c>
      <c r="J87">
        <v>76.9204556335566</v>
      </c>
      <c r="K87">
        <v>57.6903417251674</v>
      </c>
      <c r="L87">
        <v>38.4602278167783</v>
      </c>
      <c r="M87">
        <v>45</v>
      </c>
      <c r="O87">
        <f t="shared" si="3"/>
        <v>0.300562077620199</v>
      </c>
      <c r="P87">
        <f t="shared" si="4"/>
        <v>2.4054653842089</v>
      </c>
      <c r="Q87">
        <f t="shared" si="5"/>
        <v>8.003223171915</v>
      </c>
    </row>
    <row r="88" spans="1:17">
      <c r="A88">
        <v>10.7168129971702</v>
      </c>
      <c r="B88">
        <v>40.9352103045866</v>
      </c>
      <c r="C88">
        <v>17.1157807908112</v>
      </c>
      <c r="D88">
        <v>12.8368355931084</v>
      </c>
      <c r="E88">
        <v>8.5578903954056</v>
      </c>
      <c r="F88">
        <v>45</v>
      </c>
      <c r="H88">
        <v>25.5477765977194</v>
      </c>
      <c r="I88">
        <v>97.5853183328275</v>
      </c>
      <c r="J88">
        <v>79.3467343508386</v>
      </c>
      <c r="K88">
        <v>59.510050763129</v>
      </c>
      <c r="L88">
        <v>39.6733671754193</v>
      </c>
      <c r="M88">
        <v>45</v>
      </c>
      <c r="O88">
        <f t="shared" si="3"/>
        <v>0.300562077620299</v>
      </c>
      <c r="P88">
        <f t="shared" si="4"/>
        <v>2.426278717282</v>
      </c>
      <c r="Q88">
        <f t="shared" si="5"/>
        <v>8.07247120625487</v>
      </c>
    </row>
    <row r="89" spans="1:17">
      <c r="A89">
        <v>10.8428931500781</v>
      </c>
      <c r="B89">
        <v>41.4168010140523</v>
      </c>
      <c r="C89">
        <v>17.3720553521125</v>
      </c>
      <c r="D89">
        <v>13.0290415140844</v>
      </c>
      <c r="E89">
        <v>8.68602767605625</v>
      </c>
      <c r="F89">
        <v>45</v>
      </c>
      <c r="H89">
        <v>25.8483386753396</v>
      </c>
      <c r="I89">
        <v>98.733380901449</v>
      </c>
      <c r="J89">
        <v>81.7849525539167</v>
      </c>
      <c r="K89">
        <v>61.3387144154375</v>
      </c>
      <c r="L89">
        <v>40.8924762769583</v>
      </c>
      <c r="M89">
        <v>45</v>
      </c>
      <c r="O89">
        <f t="shared" si="3"/>
        <v>0.300562077620203</v>
      </c>
      <c r="P89">
        <f t="shared" si="4"/>
        <v>2.43821820307809</v>
      </c>
      <c r="Q89">
        <f t="shared" si="5"/>
        <v>8.11219506593604</v>
      </c>
    </row>
    <row r="90" spans="1:17">
      <c r="A90">
        <v>10.968973302986</v>
      </c>
      <c r="B90">
        <v>41.8983917235181</v>
      </c>
      <c r="C90">
        <v>17.6309461414255</v>
      </c>
      <c r="D90">
        <v>13.2232096060691</v>
      </c>
      <c r="E90">
        <v>8.81547307071276</v>
      </c>
      <c r="F90">
        <v>45</v>
      </c>
      <c r="H90">
        <v>26.1489007529598</v>
      </c>
      <c r="I90">
        <v>99.8814434700706</v>
      </c>
      <c r="J90">
        <v>84.2264118589595</v>
      </c>
      <c r="K90">
        <v>63.1698088942196</v>
      </c>
      <c r="L90">
        <v>42.1132059294798</v>
      </c>
      <c r="M90">
        <v>45</v>
      </c>
      <c r="O90">
        <f t="shared" si="3"/>
        <v>0.300562077620199</v>
      </c>
      <c r="P90">
        <f t="shared" si="4"/>
        <v>2.4414593050428</v>
      </c>
      <c r="Q90">
        <f t="shared" si="5"/>
        <v>8.1229785353291</v>
      </c>
    </row>
    <row r="91" spans="1:17">
      <c r="A91">
        <v>11.0950534558939</v>
      </c>
      <c r="B91">
        <v>42.3799824329838</v>
      </c>
      <c r="C91">
        <v>17.8925334306059</v>
      </c>
      <c r="D91">
        <v>13.4194000729544</v>
      </c>
      <c r="E91">
        <v>8.94626671530296</v>
      </c>
      <c r="F91">
        <v>45</v>
      </c>
      <c r="H91">
        <v>26.44946283058</v>
      </c>
      <c r="I91">
        <v>101.029506038692</v>
      </c>
      <c r="J91">
        <v>86.6624225337556</v>
      </c>
      <c r="K91">
        <v>64.9968169003167</v>
      </c>
      <c r="L91">
        <v>43.3312112668778</v>
      </c>
      <c r="M91">
        <v>45</v>
      </c>
      <c r="O91">
        <f t="shared" si="3"/>
        <v>0.300562077620199</v>
      </c>
      <c r="P91">
        <f t="shared" si="4"/>
        <v>2.43601067479611</v>
      </c>
      <c r="Q91">
        <f t="shared" si="5"/>
        <v>8.10485039923877</v>
      </c>
    </row>
    <row r="92" spans="1:17">
      <c r="A92">
        <v>11.2211336088017</v>
      </c>
      <c r="B92">
        <v>42.8615731424495</v>
      </c>
      <c r="C92">
        <v>18.1567272734834</v>
      </c>
      <c r="D92">
        <v>13.6175454551125</v>
      </c>
      <c r="E92">
        <v>9.07836363674168</v>
      </c>
      <c r="F92">
        <v>45</v>
      </c>
      <c r="H92">
        <v>26.7500249082003</v>
      </c>
      <c r="I92">
        <v>102.177568607314</v>
      </c>
      <c r="J92">
        <v>89.083235107282</v>
      </c>
      <c r="K92">
        <v>66.8124263304615</v>
      </c>
      <c r="L92">
        <v>44.541617553641</v>
      </c>
      <c r="M92">
        <v>45</v>
      </c>
      <c r="O92">
        <f t="shared" si="3"/>
        <v>0.300562077620299</v>
      </c>
      <c r="P92">
        <f t="shared" si="4"/>
        <v>2.42081257352639</v>
      </c>
      <c r="Q92">
        <f t="shared" si="5"/>
        <v>8.05428480097417</v>
      </c>
    </row>
    <row r="93" spans="1:17">
      <c r="A93">
        <v>11.3472137617096</v>
      </c>
      <c r="B93">
        <v>43.3431638519152</v>
      </c>
      <c r="C93">
        <v>18.4236253750233</v>
      </c>
      <c r="D93">
        <v>13.8177190312675</v>
      </c>
      <c r="E93">
        <v>9.21181268751164</v>
      </c>
      <c r="F93">
        <v>45</v>
      </c>
      <c r="H93">
        <v>27.0505869858205</v>
      </c>
      <c r="I93">
        <v>103.325631175935</v>
      </c>
      <c r="J93">
        <v>91.4798306718869</v>
      </c>
      <c r="K93">
        <v>68.6098730039151</v>
      </c>
      <c r="L93">
        <v>45.7399153359434</v>
      </c>
      <c r="M93">
        <v>45</v>
      </c>
      <c r="O93">
        <f t="shared" si="3"/>
        <v>0.300562077620203</v>
      </c>
      <c r="P93">
        <f t="shared" si="4"/>
        <v>2.39659556460491</v>
      </c>
      <c r="Q93">
        <f t="shared" si="5"/>
        <v>7.97371239772072</v>
      </c>
    </row>
    <row r="94" spans="1:17">
      <c r="A94">
        <v>11.4732939146175</v>
      </c>
      <c r="B94">
        <v>43.8247545613809</v>
      </c>
      <c r="C94">
        <v>18.6935809682073</v>
      </c>
      <c r="D94">
        <v>14.0201857261554</v>
      </c>
      <c r="E94">
        <v>9.34679048410363</v>
      </c>
      <c r="F94">
        <v>45</v>
      </c>
      <c r="H94">
        <v>27.3511490634407</v>
      </c>
      <c r="I94">
        <v>104.473693744557</v>
      </c>
      <c r="J94">
        <v>93.8424010324756</v>
      </c>
      <c r="K94">
        <v>70.3818007743567</v>
      </c>
      <c r="L94">
        <v>46.9212005162378</v>
      </c>
      <c r="M94">
        <v>45</v>
      </c>
      <c r="O94">
        <f t="shared" si="3"/>
        <v>0.300562077620199</v>
      </c>
      <c r="P94">
        <f t="shared" si="4"/>
        <v>2.36257036058871</v>
      </c>
      <c r="Q94">
        <f t="shared" si="5"/>
        <v>7.86050715145152</v>
      </c>
    </row>
    <row r="95" spans="1:17">
      <c r="A95">
        <v>11.5993740675254</v>
      </c>
      <c r="B95">
        <v>44.3063452708467</v>
      </c>
      <c r="C95">
        <v>18.9668155117499</v>
      </c>
      <c r="D95">
        <v>14.2251116338124</v>
      </c>
      <c r="E95">
        <v>9.48340775587493</v>
      </c>
      <c r="F95">
        <v>45</v>
      </c>
      <c r="H95">
        <v>27.651711141061</v>
      </c>
      <c r="I95">
        <v>105.621756313178</v>
      </c>
      <c r="J95">
        <v>96.1603723524344</v>
      </c>
      <c r="K95">
        <v>72.1202792643258</v>
      </c>
      <c r="L95">
        <v>48.0801861762172</v>
      </c>
      <c r="M95">
        <v>45</v>
      </c>
      <c r="O95">
        <f t="shared" si="3"/>
        <v>0.300562077620299</v>
      </c>
      <c r="P95">
        <f t="shared" si="4"/>
        <v>2.31797131995879</v>
      </c>
      <c r="Q95">
        <f t="shared" si="5"/>
        <v>7.71212169649389</v>
      </c>
    </row>
    <row r="96" spans="1:19">
      <c r="A96">
        <v>11.7254542204333</v>
      </c>
      <c r="B96">
        <v>44.7879359803124</v>
      </c>
      <c r="C96">
        <v>19.2432298632878</v>
      </c>
      <c r="D96">
        <v>14.4324223974658</v>
      </c>
      <c r="E96">
        <v>9.62161493164388</v>
      </c>
      <c r="F96">
        <v>45</v>
      </c>
      <c r="H96">
        <v>27.9522732186812</v>
      </c>
      <c r="I96">
        <v>106.7698188818</v>
      </c>
      <c r="J96">
        <v>98.4222308149874</v>
      </c>
      <c r="K96">
        <v>73.8166731112406</v>
      </c>
      <c r="L96">
        <v>49.2111154074937</v>
      </c>
      <c r="M96">
        <v>45</v>
      </c>
      <c r="O96">
        <f t="shared" si="3"/>
        <v>0.300562077620199</v>
      </c>
      <c r="P96">
        <f t="shared" si="4"/>
        <v>2.26185846255301</v>
      </c>
      <c r="Q96">
        <f t="shared" si="5"/>
        <v>7.52542862513471</v>
      </c>
      <c r="S96" s="4" t="s">
        <v>79</v>
      </c>
    </row>
    <row r="97" spans="1:19">
      <c r="A97">
        <v>11.8515343733412</v>
      </c>
      <c r="B97">
        <v>45.2695266897781</v>
      </c>
      <c r="C97">
        <v>19.5231223008174</v>
      </c>
      <c r="D97">
        <v>14.642341725613</v>
      </c>
      <c r="E97">
        <v>9.76156115040868</v>
      </c>
      <c r="F97">
        <v>45</v>
      </c>
      <c r="H97">
        <v>28.2528352963014</v>
      </c>
      <c r="I97">
        <v>107.917881450421</v>
      </c>
      <c r="J97">
        <v>100.61532675762</v>
      </c>
      <c r="K97">
        <v>75.4614950682148</v>
      </c>
      <c r="L97">
        <v>50.3076633788099</v>
      </c>
      <c r="M97">
        <v>45</v>
      </c>
      <c r="O97">
        <f t="shared" si="3"/>
        <v>0.300562077620199</v>
      </c>
      <c r="P97">
        <f t="shared" si="4"/>
        <v>2.1930959426326</v>
      </c>
      <c r="Q97">
        <f t="shared" si="5"/>
        <v>7.29664886534311</v>
      </c>
      <c r="S97" s="2">
        <f>FORECAST(45,H3:H102,K3:K102)</f>
        <v>20.9757790148189</v>
      </c>
    </row>
    <row r="98" spans="1:17">
      <c r="A98">
        <v>11.9776145262491</v>
      </c>
      <c r="B98">
        <v>45.7511173992439</v>
      </c>
      <c r="C98">
        <v>19.8074149189331</v>
      </c>
      <c r="D98">
        <v>14.8555611891998</v>
      </c>
      <c r="E98">
        <v>9.90370745946654</v>
      </c>
      <c r="F98">
        <v>45</v>
      </c>
      <c r="H98">
        <v>28.5533973739216</v>
      </c>
      <c r="I98">
        <v>109.065944019043</v>
      </c>
      <c r="J98">
        <v>102.725740693148</v>
      </c>
      <c r="K98">
        <v>77.044305519861</v>
      </c>
      <c r="L98">
        <v>51.362870346574</v>
      </c>
      <c r="M98">
        <v>45</v>
      </c>
      <c r="O98">
        <f t="shared" si="3"/>
        <v>0.300562077620203</v>
      </c>
      <c r="P98">
        <f t="shared" si="4"/>
        <v>2.110413935528</v>
      </c>
      <c r="Q98">
        <f t="shared" si="5"/>
        <v>7.0215575838372</v>
      </c>
    </row>
    <row r="99" spans="1:17">
      <c r="A99">
        <v>12.1036946791569</v>
      </c>
      <c r="B99">
        <v>46.2327081087096</v>
      </c>
      <c r="C99">
        <v>20.0959289463271</v>
      </c>
      <c r="D99">
        <v>15.0719467097453</v>
      </c>
      <c r="E99">
        <v>10.0479644731635</v>
      </c>
      <c r="F99">
        <v>45</v>
      </c>
      <c r="H99">
        <v>28.8539594515419</v>
      </c>
      <c r="I99">
        <v>110.214006587664</v>
      </c>
      <c r="J99">
        <v>104.738561608054</v>
      </c>
      <c r="K99">
        <v>78.5539212060403</v>
      </c>
      <c r="L99">
        <v>52.3692808040268</v>
      </c>
      <c r="M99">
        <v>45</v>
      </c>
      <c r="O99">
        <f t="shared" si="3"/>
        <v>0.300562077620299</v>
      </c>
      <c r="P99">
        <f t="shared" si="4"/>
        <v>2.012820914906</v>
      </c>
      <c r="Q99">
        <f t="shared" si="5"/>
        <v>6.69685587364353</v>
      </c>
    </row>
    <row r="100" spans="1:17">
      <c r="A100">
        <v>12.2297748320648</v>
      </c>
      <c r="B100">
        <v>46.7142988181753</v>
      </c>
      <c r="C100">
        <v>20.3896769954854</v>
      </c>
      <c r="D100">
        <v>15.292257746614</v>
      </c>
      <c r="E100">
        <v>10.1948384977427</v>
      </c>
      <c r="F100">
        <v>45</v>
      </c>
      <c r="H100">
        <v>29.1545215291621</v>
      </c>
      <c r="I100">
        <v>111.362069156286</v>
      </c>
      <c r="J100">
        <v>106.638548628792</v>
      </c>
      <c r="K100">
        <v>79.978911471594</v>
      </c>
      <c r="L100">
        <v>53.319274314396</v>
      </c>
      <c r="M100">
        <v>45</v>
      </c>
      <c r="O100">
        <f t="shared" si="3"/>
        <v>0.300562077620199</v>
      </c>
      <c r="P100">
        <f t="shared" si="4"/>
        <v>1.899987020738</v>
      </c>
      <c r="Q100">
        <f t="shared" si="5"/>
        <v>6.32144625756442</v>
      </c>
    </row>
    <row r="101" spans="1:17">
      <c r="A101">
        <v>12.3558549849727</v>
      </c>
      <c r="B101">
        <v>47.195889527641</v>
      </c>
      <c r="C101">
        <v>20.6905236539445</v>
      </c>
      <c r="D101">
        <v>15.5178927404584</v>
      </c>
      <c r="E101">
        <v>10.3452618269722</v>
      </c>
      <c r="F101">
        <v>45</v>
      </c>
      <c r="H101">
        <v>29.4550836067823</v>
      </c>
      <c r="I101">
        <v>112.510131724907</v>
      </c>
      <c r="J101">
        <v>108.390771316507</v>
      </c>
      <c r="K101">
        <v>81.2930784873799</v>
      </c>
      <c r="L101">
        <v>54.1953856582533</v>
      </c>
      <c r="M101">
        <v>45</v>
      </c>
      <c r="O101">
        <f t="shared" si="3"/>
        <v>0.300562077620199</v>
      </c>
      <c r="P101">
        <f t="shared" si="4"/>
        <v>1.752222687715</v>
      </c>
      <c r="Q101">
        <f t="shared" si="5"/>
        <v>5.82981958864809</v>
      </c>
    </row>
    <row r="102" spans="1:17">
      <c r="A102">
        <v>12.4819351378806</v>
      </c>
      <c r="B102">
        <v>47.6774802371068</v>
      </c>
      <c r="C102">
        <v>21</v>
      </c>
      <c r="D102">
        <v>15.75</v>
      </c>
      <c r="E102">
        <v>10.5</v>
      </c>
      <c r="F102">
        <v>45</v>
      </c>
      <c r="H102">
        <v>29.7556456844026</v>
      </c>
      <c r="I102">
        <v>113.658194293529</v>
      </c>
      <c r="J102">
        <v>110</v>
      </c>
      <c r="K102">
        <v>82.5</v>
      </c>
      <c r="L102">
        <v>55</v>
      </c>
      <c r="M102">
        <v>45</v>
      </c>
      <c r="O102">
        <f t="shared" si="3"/>
        <v>0.300562077620302</v>
      </c>
      <c r="P102">
        <f t="shared" si="4"/>
        <v>1.609228683493</v>
      </c>
      <c r="Q102">
        <f t="shared" si="5"/>
        <v>5.35406427927986</v>
      </c>
    </row>
  </sheetData>
  <mergeCells count="2">
    <mergeCell ref="A1:E1"/>
    <mergeCell ref="H1:L1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2"/>
  <sheetViews>
    <sheetView zoomScale="90" zoomScaleNormal="90" topLeftCell="A100" workbookViewId="0">
      <selection activeCell="Q127" sqref="Q127"/>
    </sheetView>
  </sheetViews>
  <sheetFormatPr defaultColWidth="8.89814814814815" defaultRowHeight="14.4"/>
  <cols>
    <col min="1" max="1" width="12.7777777777778" customWidth="1"/>
    <col min="8" max="8" width="12.7777777777778" customWidth="1"/>
    <col min="15" max="17" width="12.8888888888889" customWidth="1"/>
    <col min="18" max="18" width="18.7685185185185" customWidth="1"/>
    <col min="19" max="19" width="19.1203703703704" customWidth="1"/>
  </cols>
  <sheetData>
    <row r="1" spans="1:12">
      <c r="A1" s="1" t="s">
        <v>71</v>
      </c>
      <c r="B1" s="1"/>
      <c r="C1" s="1"/>
      <c r="D1" s="1"/>
      <c r="E1" s="1"/>
      <c r="H1" s="1" t="s">
        <v>72</v>
      </c>
      <c r="I1" s="1"/>
      <c r="J1" s="1"/>
      <c r="K1" s="1"/>
      <c r="L1" s="1"/>
    </row>
    <row r="2" spans="1:13">
      <c r="A2" s="2" t="s">
        <v>73</v>
      </c>
      <c r="B2" s="2" t="s">
        <v>74</v>
      </c>
      <c r="C2" s="2" t="s">
        <v>75</v>
      </c>
      <c r="D2" s="2" t="s">
        <v>76</v>
      </c>
      <c r="E2" s="2" t="s">
        <v>77</v>
      </c>
      <c r="F2" t="s">
        <v>78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t="s">
        <v>78</v>
      </c>
    </row>
    <row r="3" spans="1:17">
      <c r="A3" s="2">
        <v>0</v>
      </c>
      <c r="B3" s="2">
        <v>0</v>
      </c>
      <c r="C3" s="2">
        <v>0</v>
      </c>
      <c r="D3" s="2">
        <v>0</v>
      </c>
      <c r="E3" s="2">
        <v>0</v>
      </c>
      <c r="F3">
        <v>45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>
        <v>45</v>
      </c>
      <c r="Q3" s="3" t="s">
        <v>80</v>
      </c>
    </row>
    <row r="4" spans="1:17">
      <c r="A4" s="2">
        <v>0.244323114315042</v>
      </c>
      <c r="B4" s="2">
        <v>0.933245552516283</v>
      </c>
      <c r="C4" s="2">
        <v>0.809612811441168</v>
      </c>
      <c r="D4" s="2">
        <v>0.607209608580876</v>
      </c>
      <c r="E4" s="2">
        <v>0.404806405720584</v>
      </c>
      <c r="F4">
        <v>45</v>
      </c>
      <c r="H4" s="2">
        <v>0.324931448862147</v>
      </c>
      <c r="I4" s="2">
        <v>1.24114671005813</v>
      </c>
      <c r="J4" s="2">
        <v>1.05470989145189</v>
      </c>
      <c r="K4" s="2">
        <v>0.791032418588914</v>
      </c>
      <c r="L4" s="2">
        <v>0.527354945725943</v>
      </c>
      <c r="M4">
        <v>45</v>
      </c>
      <c r="O4">
        <f t="shared" ref="O4:O67" si="0">H4-H3</f>
        <v>0.324931448862147</v>
      </c>
      <c r="P4">
        <f t="shared" ref="P4:P67" si="1">J4-J3</f>
        <v>1.05470989145189</v>
      </c>
      <c r="Q4">
        <f t="shared" ref="Q4:Q67" si="2">P4/O4</f>
        <v>3.24594586072016</v>
      </c>
    </row>
    <row r="5" spans="1:17">
      <c r="A5" s="2">
        <v>0.488646228630084</v>
      </c>
      <c r="B5" s="2">
        <v>1.86649110503257</v>
      </c>
      <c r="C5" s="2">
        <v>1.4814547708606</v>
      </c>
      <c r="D5" s="2">
        <v>1.11109107814545</v>
      </c>
      <c r="E5" s="2">
        <v>0.7407273854303</v>
      </c>
      <c r="F5">
        <v>45</v>
      </c>
      <c r="H5" s="2">
        <v>0.649862897724295</v>
      </c>
      <c r="I5" s="2">
        <v>2.48229342011626</v>
      </c>
      <c r="J5" s="2">
        <v>1.85553862819153</v>
      </c>
      <c r="K5" s="2">
        <v>1.39165397114365</v>
      </c>
      <c r="L5" s="2">
        <v>0.927769314095767</v>
      </c>
      <c r="M5">
        <v>45</v>
      </c>
      <c r="O5">
        <f t="shared" si="0"/>
        <v>0.324931448862148</v>
      </c>
      <c r="P5">
        <f t="shared" si="1"/>
        <v>0.80082873673964</v>
      </c>
      <c r="Q5">
        <f t="shared" si="2"/>
        <v>2.46460827212632</v>
      </c>
    </row>
    <row r="6" spans="1:17">
      <c r="A6" s="2">
        <v>0.732969342945126</v>
      </c>
      <c r="B6" s="2">
        <v>2.79973665754885</v>
      </c>
      <c r="C6" s="2">
        <v>2.07574817559117</v>
      </c>
      <c r="D6" s="2">
        <v>1.55681113169338</v>
      </c>
      <c r="E6" s="2">
        <v>1.03787408779558</v>
      </c>
      <c r="F6">
        <v>45</v>
      </c>
      <c r="H6" s="2">
        <v>0.974794346586435</v>
      </c>
      <c r="I6" s="2">
        <v>3.72344013017437</v>
      </c>
      <c r="J6" s="2">
        <v>2.55754350568668</v>
      </c>
      <c r="K6" s="2">
        <v>1.91815762926501</v>
      </c>
      <c r="L6" s="2">
        <v>1.27877175284334</v>
      </c>
      <c r="M6">
        <v>45</v>
      </c>
      <c r="O6">
        <f t="shared" si="0"/>
        <v>0.32493144886214</v>
      </c>
      <c r="P6">
        <f t="shared" si="1"/>
        <v>0.70200487749515</v>
      </c>
      <c r="Q6">
        <f t="shared" si="2"/>
        <v>2.16047070837084</v>
      </c>
    </row>
    <row r="7" spans="1:17">
      <c r="A7" s="2">
        <v>0.977292457260167</v>
      </c>
      <c r="B7" s="2">
        <v>3.73298221006513</v>
      </c>
      <c r="C7" s="2">
        <v>2.60902802552887</v>
      </c>
      <c r="D7" s="2">
        <v>1.95677101914665</v>
      </c>
      <c r="E7" s="2">
        <v>1.30451401276444</v>
      </c>
      <c r="F7">
        <v>45</v>
      </c>
      <c r="H7" s="2">
        <v>1.29972579544858</v>
      </c>
      <c r="I7" s="2">
        <v>4.9645868402325</v>
      </c>
      <c r="J7" s="2">
        <v>3.13702364251018</v>
      </c>
      <c r="K7" s="2">
        <v>2.35276773188263</v>
      </c>
      <c r="L7" s="2">
        <v>1.56851182125509</v>
      </c>
      <c r="M7">
        <v>45</v>
      </c>
      <c r="O7">
        <f t="shared" si="0"/>
        <v>0.324931448862145</v>
      </c>
      <c r="P7">
        <f t="shared" si="1"/>
        <v>0.5794801368235</v>
      </c>
      <c r="Q7">
        <f t="shared" si="2"/>
        <v>1.78339197037634</v>
      </c>
    </row>
    <row r="8" spans="1:17">
      <c r="A8" s="2">
        <v>1.22161557157521</v>
      </c>
      <c r="B8" s="2">
        <v>4.66622776258141</v>
      </c>
      <c r="C8" s="2">
        <v>3.10210340289363</v>
      </c>
      <c r="D8" s="2">
        <v>2.32657755217022</v>
      </c>
      <c r="E8" s="2">
        <v>1.55105170144682</v>
      </c>
      <c r="F8">
        <v>45</v>
      </c>
      <c r="H8" s="2">
        <v>1.62465724431073</v>
      </c>
      <c r="I8" s="2">
        <v>6.20573355029063</v>
      </c>
      <c r="J8" s="2">
        <v>3.69709454867753</v>
      </c>
      <c r="K8" s="2">
        <v>2.77282091150814</v>
      </c>
      <c r="L8" s="2">
        <v>1.84854727433876</v>
      </c>
      <c r="M8">
        <v>45</v>
      </c>
      <c r="O8">
        <f t="shared" si="0"/>
        <v>0.32493144886215</v>
      </c>
      <c r="P8">
        <f t="shared" si="1"/>
        <v>0.56007090616735</v>
      </c>
      <c r="Q8">
        <f t="shared" si="2"/>
        <v>1.72365866132261</v>
      </c>
    </row>
    <row r="9" spans="1:17">
      <c r="A9" s="2">
        <v>1.46593868589025</v>
      </c>
      <c r="B9" s="2">
        <v>5.5994733150977</v>
      </c>
      <c r="C9" s="2">
        <v>3.5628688450988</v>
      </c>
      <c r="D9" s="2">
        <v>2.6721516338241</v>
      </c>
      <c r="E9" s="2">
        <v>1.7814344225494</v>
      </c>
      <c r="F9">
        <v>45</v>
      </c>
      <c r="H9" s="2">
        <v>1.94958869317288</v>
      </c>
      <c r="I9" s="2">
        <v>7.44688026034876</v>
      </c>
      <c r="J9" s="2">
        <v>4.18773637289671</v>
      </c>
      <c r="K9" s="2">
        <v>3.14080227967253</v>
      </c>
      <c r="L9" s="2">
        <v>2.09386818644835</v>
      </c>
      <c r="M9">
        <v>45</v>
      </c>
      <c r="O9">
        <f t="shared" si="0"/>
        <v>0.32493144886215</v>
      </c>
      <c r="P9">
        <f t="shared" si="1"/>
        <v>0.49064182421918</v>
      </c>
      <c r="Q9">
        <f t="shared" si="2"/>
        <v>1.5099856475491</v>
      </c>
    </row>
    <row r="10" spans="1:17">
      <c r="A10" s="2">
        <v>1.71026180020529</v>
      </c>
      <c r="B10" s="2">
        <v>6.53271886761398</v>
      </c>
      <c r="C10" s="2">
        <v>3.99743359472708</v>
      </c>
      <c r="D10" s="2">
        <v>2.99807519604531</v>
      </c>
      <c r="E10" s="2">
        <v>1.99871679736354</v>
      </c>
      <c r="F10">
        <v>45</v>
      </c>
      <c r="H10" s="2">
        <v>2.27452014203502</v>
      </c>
      <c r="I10" s="2">
        <v>8.68802697040687</v>
      </c>
      <c r="J10" s="2">
        <v>4.67837819711587</v>
      </c>
      <c r="K10" s="2">
        <v>3.5087836478369</v>
      </c>
      <c r="L10" s="2">
        <v>2.33918909855794</v>
      </c>
      <c r="M10">
        <v>45</v>
      </c>
      <c r="O10">
        <f t="shared" si="0"/>
        <v>0.32493144886214</v>
      </c>
      <c r="P10">
        <f t="shared" si="1"/>
        <v>0.49064182421916</v>
      </c>
      <c r="Q10">
        <f t="shared" si="2"/>
        <v>1.50998564754908</v>
      </c>
    </row>
    <row r="11" spans="1:17">
      <c r="A11" s="2">
        <v>1.95458491452033</v>
      </c>
      <c r="B11" s="2">
        <v>7.46596442013026</v>
      </c>
      <c r="C11" s="2">
        <v>4.41057965247801</v>
      </c>
      <c r="D11" s="2">
        <v>3.3079347393585</v>
      </c>
      <c r="E11" s="2">
        <v>2.205289826239</v>
      </c>
      <c r="F11">
        <v>45</v>
      </c>
      <c r="H11" s="2">
        <v>2.59945159089716</v>
      </c>
      <c r="I11" s="2">
        <v>9.929173680465</v>
      </c>
      <c r="J11" s="2">
        <v>5.11377954899661</v>
      </c>
      <c r="K11" s="2">
        <v>3.83533466174746</v>
      </c>
      <c r="L11" s="2">
        <v>2.55688977449831</v>
      </c>
      <c r="M11">
        <v>45</v>
      </c>
      <c r="O11">
        <f t="shared" si="0"/>
        <v>0.32493144886214</v>
      </c>
      <c r="P11">
        <f t="shared" si="1"/>
        <v>0.43540135188074</v>
      </c>
      <c r="Q11">
        <f t="shared" si="2"/>
        <v>1.33997910453251</v>
      </c>
    </row>
    <row r="12" spans="1:17">
      <c r="A12" s="2">
        <v>2.19890802883538</v>
      </c>
      <c r="B12" s="2">
        <v>8.39920997264655</v>
      </c>
      <c r="C12" s="2">
        <v>4.80608715477123</v>
      </c>
      <c r="D12" s="2">
        <v>3.60456536607843</v>
      </c>
      <c r="E12" s="2">
        <v>2.40304357738562</v>
      </c>
      <c r="F12">
        <v>45</v>
      </c>
      <c r="H12" s="2">
        <v>2.92438303975931</v>
      </c>
      <c r="I12" s="2">
        <v>11.1703203905231</v>
      </c>
      <c r="J12" s="2">
        <v>5.54650946780257</v>
      </c>
      <c r="K12" s="2">
        <v>4.15988210085193</v>
      </c>
      <c r="L12" s="2">
        <v>2.77325473390128</v>
      </c>
      <c r="M12">
        <v>45</v>
      </c>
      <c r="O12">
        <f t="shared" si="0"/>
        <v>0.32493144886215</v>
      </c>
      <c r="P12">
        <f t="shared" si="1"/>
        <v>0.43272991880596</v>
      </c>
      <c r="Q12">
        <f t="shared" si="2"/>
        <v>1.33175757631741</v>
      </c>
    </row>
    <row r="13" spans="1:17">
      <c r="A13" s="2">
        <v>2.44323114315042</v>
      </c>
      <c r="B13" s="2">
        <v>9.33245552516283</v>
      </c>
      <c r="C13" s="2">
        <v>5.18696995277832</v>
      </c>
      <c r="D13" s="2">
        <v>3.89022746458374</v>
      </c>
      <c r="E13" s="2">
        <v>2.59348497638916</v>
      </c>
      <c r="F13">
        <v>45</v>
      </c>
      <c r="H13" s="2">
        <v>3.24931448862146</v>
      </c>
      <c r="I13" s="2">
        <v>12.4114671005813</v>
      </c>
      <c r="J13" s="2">
        <v>5.96454157276728</v>
      </c>
      <c r="K13" s="2">
        <v>4.47340617957546</v>
      </c>
      <c r="L13" s="2">
        <v>2.98227078638364</v>
      </c>
      <c r="M13">
        <v>45</v>
      </c>
      <c r="O13">
        <f t="shared" si="0"/>
        <v>0.32493144886215</v>
      </c>
      <c r="P13">
        <f t="shared" si="1"/>
        <v>0.41803210496471</v>
      </c>
      <c r="Q13">
        <f t="shared" si="2"/>
        <v>1.28652399276395</v>
      </c>
    </row>
    <row r="14" spans="1:17">
      <c r="A14" s="2">
        <v>2.68755425746546</v>
      </c>
      <c r="B14" s="2">
        <v>10.2657010776791</v>
      </c>
      <c r="C14" s="2">
        <v>5.55564917416499</v>
      </c>
      <c r="D14" s="2">
        <v>4.16673688062374</v>
      </c>
      <c r="E14" s="2">
        <v>2.77782458708249</v>
      </c>
      <c r="F14">
        <v>45</v>
      </c>
      <c r="H14" s="2">
        <v>3.57424593748361</v>
      </c>
      <c r="I14" s="2">
        <v>13.6526138106394</v>
      </c>
      <c r="J14" s="2">
        <v>6.3592132533317</v>
      </c>
      <c r="K14" s="2">
        <v>4.76940993999877</v>
      </c>
      <c r="L14" s="2">
        <v>3.17960662666585</v>
      </c>
      <c r="M14">
        <v>45</v>
      </c>
      <c r="O14">
        <f t="shared" si="0"/>
        <v>0.32493144886215</v>
      </c>
      <c r="P14">
        <f t="shared" si="1"/>
        <v>0.39467168056442</v>
      </c>
      <c r="Q14">
        <f t="shared" si="2"/>
        <v>1.21463059961259</v>
      </c>
    </row>
    <row r="15" spans="1:17">
      <c r="A15" s="2">
        <v>2.9318773717805</v>
      </c>
      <c r="B15" s="2">
        <v>11.1989466301954</v>
      </c>
      <c r="C15" s="2">
        <v>5.91408316845891</v>
      </c>
      <c r="D15" s="2">
        <v>4.43556237634418</v>
      </c>
      <c r="E15" s="2">
        <v>2.95704158422945</v>
      </c>
      <c r="F15">
        <v>45</v>
      </c>
      <c r="H15" s="2">
        <v>3.89917738634575</v>
      </c>
      <c r="I15" s="2">
        <v>14.8937605206975</v>
      </c>
      <c r="J15" s="2">
        <v>6.75388493389612</v>
      </c>
      <c r="K15" s="2">
        <v>5.06541370042209</v>
      </c>
      <c r="L15" s="2">
        <v>3.37694246694806</v>
      </c>
      <c r="M15">
        <v>45</v>
      </c>
      <c r="O15">
        <f t="shared" si="0"/>
        <v>0.32493144886214</v>
      </c>
      <c r="P15">
        <f t="shared" si="1"/>
        <v>0.39467168056442</v>
      </c>
      <c r="Q15">
        <f t="shared" si="2"/>
        <v>1.21463059961262</v>
      </c>
    </row>
    <row r="16" spans="1:17">
      <c r="A16" s="2">
        <v>3.17620048609554</v>
      </c>
      <c r="B16" s="2">
        <v>12.1321921827117</v>
      </c>
      <c r="C16" s="2">
        <v>6.26386626398103</v>
      </c>
      <c r="D16" s="2">
        <v>4.69789969798577</v>
      </c>
      <c r="E16" s="2">
        <v>3.13193313199051</v>
      </c>
      <c r="F16">
        <v>45</v>
      </c>
      <c r="H16" s="2">
        <v>4.22410883520789</v>
      </c>
      <c r="I16" s="2">
        <v>16.1349072307556</v>
      </c>
      <c r="J16" s="2">
        <v>7.13463349469719</v>
      </c>
      <c r="K16" s="2">
        <v>5.3509751210229</v>
      </c>
      <c r="L16" s="2">
        <v>3.5673167473486</v>
      </c>
      <c r="M16">
        <v>45</v>
      </c>
      <c r="O16">
        <f t="shared" si="0"/>
        <v>0.32493144886214</v>
      </c>
      <c r="P16">
        <f t="shared" si="1"/>
        <v>0.38074856080107</v>
      </c>
      <c r="Q16">
        <f t="shared" si="2"/>
        <v>1.17178119303131</v>
      </c>
    </row>
    <row r="17" spans="1:17">
      <c r="A17" s="2">
        <v>3.42052360041058</v>
      </c>
      <c r="B17" s="2">
        <v>13.0654377352279</v>
      </c>
      <c r="C17" s="2">
        <v>6.60630487650984</v>
      </c>
      <c r="D17" s="2">
        <v>4.95472865738238</v>
      </c>
      <c r="E17" s="2">
        <v>3.30315243825492</v>
      </c>
      <c r="F17">
        <v>45</v>
      </c>
      <c r="H17" s="2">
        <v>4.54904028407004</v>
      </c>
      <c r="I17" s="2">
        <v>17.3760539408138</v>
      </c>
      <c r="J17" s="2">
        <v>7.50491771857496</v>
      </c>
      <c r="K17" s="2">
        <v>5.62868828893122</v>
      </c>
      <c r="L17" s="2">
        <v>3.75245885928748</v>
      </c>
      <c r="M17">
        <v>45</v>
      </c>
      <c r="O17">
        <f t="shared" si="0"/>
        <v>0.32493144886215</v>
      </c>
      <c r="P17">
        <f t="shared" si="1"/>
        <v>0.37028422387777</v>
      </c>
      <c r="Q17">
        <f t="shared" si="2"/>
        <v>1.13957644042901</v>
      </c>
    </row>
    <row r="18" spans="1:17">
      <c r="A18" s="2">
        <v>3.66484671472562</v>
      </c>
      <c r="B18" s="2">
        <v>13.9986832877442</v>
      </c>
      <c r="C18" s="2">
        <v>6.9424769287614</v>
      </c>
      <c r="D18" s="2">
        <v>5.20685769657105</v>
      </c>
      <c r="E18" s="2">
        <v>3.4712384643807</v>
      </c>
      <c r="F18">
        <v>45</v>
      </c>
      <c r="H18" s="2">
        <v>4.87397173293219</v>
      </c>
      <c r="I18" s="2">
        <v>18.6172006508719</v>
      </c>
      <c r="J18" s="2">
        <v>7.87520194245272</v>
      </c>
      <c r="K18" s="2">
        <v>5.90640145683954</v>
      </c>
      <c r="L18" s="2">
        <v>3.93760097122636</v>
      </c>
      <c r="M18">
        <v>45</v>
      </c>
      <c r="O18">
        <f t="shared" si="0"/>
        <v>0.32493144886215</v>
      </c>
      <c r="P18">
        <f t="shared" si="1"/>
        <v>0.37028422387776</v>
      </c>
      <c r="Q18">
        <f t="shared" si="2"/>
        <v>1.13957644042898</v>
      </c>
    </row>
    <row r="19" spans="1:17">
      <c r="A19" s="2">
        <v>3.90916982904067</v>
      </c>
      <c r="B19" s="2">
        <v>14.9319288402605</v>
      </c>
      <c r="C19" s="2">
        <v>7.27327879546198</v>
      </c>
      <c r="D19" s="2">
        <v>5.45495909659649</v>
      </c>
      <c r="E19" s="2">
        <v>3.63663939773099</v>
      </c>
      <c r="F19">
        <v>45</v>
      </c>
      <c r="H19" s="2">
        <v>5.19890318179434</v>
      </c>
      <c r="I19" s="2">
        <v>19.85834736093</v>
      </c>
      <c r="J19" s="2">
        <v>8.23724876551308</v>
      </c>
      <c r="K19" s="2">
        <v>6.17793657413481</v>
      </c>
      <c r="L19" s="2">
        <v>4.11862438275654</v>
      </c>
      <c r="M19">
        <v>45</v>
      </c>
      <c r="O19">
        <f t="shared" si="0"/>
        <v>0.32493144886215</v>
      </c>
      <c r="P19">
        <f t="shared" si="1"/>
        <v>0.36204682306036</v>
      </c>
      <c r="Q19">
        <f t="shared" si="2"/>
        <v>1.11422524451905</v>
      </c>
    </row>
    <row r="20" spans="1:17">
      <c r="A20" s="2">
        <v>4.15349294335571</v>
      </c>
      <c r="B20" s="2">
        <v>15.8651743927768</v>
      </c>
      <c r="C20" s="2">
        <v>7.59831523953943</v>
      </c>
      <c r="D20" s="2">
        <v>5.69873642965457</v>
      </c>
      <c r="E20" s="2">
        <v>3.79915761976972</v>
      </c>
      <c r="F20">
        <v>45</v>
      </c>
      <c r="H20" s="2">
        <v>5.52383463065647</v>
      </c>
      <c r="I20" s="2">
        <v>21.0994940709881</v>
      </c>
      <c r="J20" s="2">
        <v>8.59308686313048</v>
      </c>
      <c r="K20" s="2">
        <v>6.44481514734786</v>
      </c>
      <c r="L20" s="2">
        <v>4.29654343156524</v>
      </c>
      <c r="M20">
        <v>45</v>
      </c>
      <c r="O20">
        <f t="shared" si="0"/>
        <v>0.32493144886213</v>
      </c>
      <c r="P20">
        <f t="shared" si="1"/>
        <v>0.355838097617401</v>
      </c>
      <c r="Q20">
        <f t="shared" si="2"/>
        <v>1.09511744358234</v>
      </c>
    </row>
    <row r="21" spans="1:17">
      <c r="A21" s="2">
        <v>4.39781605767075</v>
      </c>
      <c r="B21" s="2">
        <v>16.7984199452931</v>
      </c>
      <c r="C21" s="2">
        <v>7.91974481184771</v>
      </c>
      <c r="D21" s="2">
        <v>5.93980860888579</v>
      </c>
      <c r="E21" s="2">
        <v>3.95987240592386</v>
      </c>
      <c r="F21">
        <v>45</v>
      </c>
      <c r="H21" s="2">
        <v>5.84876607951862</v>
      </c>
      <c r="I21" s="2">
        <v>22.3406407810463</v>
      </c>
      <c r="J21" s="2">
        <v>8.94892496074789</v>
      </c>
      <c r="K21" s="2">
        <v>6.71169372056092</v>
      </c>
      <c r="L21" s="2">
        <v>4.47446248037395</v>
      </c>
      <c r="M21">
        <v>45</v>
      </c>
      <c r="O21">
        <f t="shared" si="0"/>
        <v>0.32493144886215</v>
      </c>
      <c r="P21">
        <f t="shared" si="1"/>
        <v>0.35583809761741</v>
      </c>
      <c r="Q21">
        <f t="shared" si="2"/>
        <v>1.0951174435823</v>
      </c>
    </row>
    <row r="22" spans="1:17">
      <c r="A22" s="2">
        <v>4.64213917198579</v>
      </c>
      <c r="B22" s="2">
        <v>17.7316654978094</v>
      </c>
      <c r="C22" s="2">
        <v>8.23812627760526</v>
      </c>
      <c r="D22" s="2">
        <v>6.17859470820394</v>
      </c>
      <c r="E22" s="2">
        <v>4.11906313880263</v>
      </c>
      <c r="F22">
        <v>45</v>
      </c>
      <c r="H22" s="2">
        <v>6.17369752838077</v>
      </c>
      <c r="I22" s="2">
        <v>23.5817874911044</v>
      </c>
      <c r="J22" s="2">
        <v>9.30167793999961</v>
      </c>
      <c r="K22" s="2">
        <v>6.97625845499971</v>
      </c>
      <c r="L22" s="2">
        <v>4.65083896999981</v>
      </c>
      <c r="M22">
        <v>45</v>
      </c>
      <c r="O22">
        <f t="shared" si="0"/>
        <v>0.32493144886215</v>
      </c>
      <c r="P22">
        <f t="shared" si="1"/>
        <v>0.35275297925172</v>
      </c>
      <c r="Q22">
        <f t="shared" si="2"/>
        <v>1.08562276900865</v>
      </c>
    </row>
    <row r="23" spans="1:17">
      <c r="A23" s="2">
        <v>4.88646228630083</v>
      </c>
      <c r="B23" s="2">
        <v>18.6649110503256</v>
      </c>
      <c r="C23" s="2">
        <v>8.55393070123041</v>
      </c>
      <c r="D23" s="2">
        <v>6.4154480259228</v>
      </c>
      <c r="E23" s="2">
        <v>4.2769653506152</v>
      </c>
      <c r="F23">
        <v>45</v>
      </c>
      <c r="H23" s="2">
        <v>6.49862897724292</v>
      </c>
      <c r="I23" s="2">
        <v>24.8229342011625</v>
      </c>
      <c r="J23" s="2">
        <v>9.65062494445516</v>
      </c>
      <c r="K23" s="2">
        <v>7.23796870834137</v>
      </c>
      <c r="L23" s="2">
        <v>4.82531247222758</v>
      </c>
      <c r="M23">
        <v>45</v>
      </c>
      <c r="O23">
        <f t="shared" si="0"/>
        <v>0.32493144886215</v>
      </c>
      <c r="P23">
        <f t="shared" si="1"/>
        <v>0.34894700445555</v>
      </c>
      <c r="Q23">
        <f t="shared" si="2"/>
        <v>1.07390960671088</v>
      </c>
    </row>
    <row r="24" spans="1:17">
      <c r="A24" s="2">
        <v>5.13078540061587</v>
      </c>
      <c r="B24" s="2">
        <v>19.5981566028419</v>
      </c>
      <c r="C24" s="2">
        <v>8.86741966922545</v>
      </c>
      <c r="D24" s="2">
        <v>6.65056475191909</v>
      </c>
      <c r="E24" s="2">
        <v>4.43370983461272</v>
      </c>
      <c r="F24">
        <v>45</v>
      </c>
      <c r="H24" s="2">
        <v>6.82356042610507</v>
      </c>
      <c r="I24" s="2">
        <v>26.0640809112207</v>
      </c>
      <c r="J24" s="2">
        <v>9.99957194891071</v>
      </c>
      <c r="K24" s="2">
        <v>7.49967896168303</v>
      </c>
      <c r="L24" s="2">
        <v>4.99978597445536</v>
      </c>
      <c r="M24">
        <v>45</v>
      </c>
      <c r="O24">
        <f t="shared" si="0"/>
        <v>0.32493144886215</v>
      </c>
      <c r="P24">
        <f t="shared" si="1"/>
        <v>0.34894700445555</v>
      </c>
      <c r="Q24">
        <f t="shared" si="2"/>
        <v>1.07390960671089</v>
      </c>
    </row>
    <row r="25" spans="1:17">
      <c r="A25" s="2">
        <v>5.37510851493092</v>
      </c>
      <c r="B25" s="2">
        <v>20.5314021553582</v>
      </c>
      <c r="C25" s="2">
        <v>9.17887294318193</v>
      </c>
      <c r="D25" s="2">
        <v>6.88415470738645</v>
      </c>
      <c r="E25" s="2">
        <v>4.58943647159097</v>
      </c>
      <c r="F25">
        <v>45</v>
      </c>
      <c r="H25" s="2">
        <v>7.1484918749672</v>
      </c>
      <c r="I25" s="2">
        <v>27.3052276212788</v>
      </c>
      <c r="J25" s="2">
        <v>10.3482723030817</v>
      </c>
      <c r="K25" s="2">
        <v>7.76120422731127</v>
      </c>
      <c r="L25" s="2">
        <v>5.17413615154084</v>
      </c>
      <c r="M25">
        <v>45</v>
      </c>
      <c r="O25">
        <f t="shared" si="0"/>
        <v>0.32493144886213</v>
      </c>
      <c r="P25">
        <f t="shared" si="1"/>
        <v>0.34870035417099</v>
      </c>
      <c r="Q25">
        <f t="shared" si="2"/>
        <v>1.07315052264746</v>
      </c>
    </row>
    <row r="26" spans="1:17">
      <c r="A26" s="2">
        <v>5.61943162924596</v>
      </c>
      <c r="B26" s="2">
        <v>21.4646477078745</v>
      </c>
      <c r="C26" s="2">
        <v>9.48925048642137</v>
      </c>
      <c r="D26" s="2">
        <v>7.11693786481603</v>
      </c>
      <c r="E26" s="2">
        <v>4.74462524321069</v>
      </c>
      <c r="F26">
        <v>45</v>
      </c>
      <c r="H26" s="2">
        <v>7.47342332382935</v>
      </c>
      <c r="I26" s="2">
        <v>28.5463743313369</v>
      </c>
      <c r="J26" s="2">
        <v>10.6962833014056</v>
      </c>
      <c r="K26" s="2">
        <v>8.02221247605418</v>
      </c>
      <c r="L26" s="2">
        <v>5.34814165070279</v>
      </c>
      <c r="M26">
        <v>45</v>
      </c>
      <c r="O26">
        <f t="shared" si="0"/>
        <v>0.32493144886215</v>
      </c>
      <c r="P26">
        <f t="shared" si="1"/>
        <v>0.3480109983239</v>
      </c>
      <c r="Q26">
        <f t="shared" si="2"/>
        <v>1.07102898024359</v>
      </c>
    </row>
    <row r="27" spans="1:17">
      <c r="A27" s="2">
        <v>5.863754743561</v>
      </c>
      <c r="B27" s="2">
        <v>22.3978932603908</v>
      </c>
      <c r="C27" s="2">
        <v>9.79883151323011</v>
      </c>
      <c r="D27" s="2">
        <v>7.34912363492258</v>
      </c>
      <c r="E27" s="2">
        <v>4.89941575661505</v>
      </c>
      <c r="F27">
        <v>45</v>
      </c>
      <c r="H27" s="2">
        <v>7.7983547726915</v>
      </c>
      <c r="I27" s="2">
        <v>29.787521041395</v>
      </c>
      <c r="J27" s="2">
        <v>11.0442942997295</v>
      </c>
      <c r="K27" s="2">
        <v>8.28322072479709</v>
      </c>
      <c r="L27" s="2">
        <v>5.52214714986473</v>
      </c>
      <c r="M27">
        <v>45</v>
      </c>
      <c r="O27">
        <f t="shared" si="0"/>
        <v>0.32493144886215</v>
      </c>
      <c r="P27">
        <f t="shared" si="1"/>
        <v>0.3480109983239</v>
      </c>
      <c r="Q27">
        <f t="shared" si="2"/>
        <v>1.07102898024359</v>
      </c>
    </row>
    <row r="28" spans="1:17">
      <c r="A28" s="2">
        <v>6.10807785787604</v>
      </c>
      <c r="B28" s="2">
        <v>23.3311388129071</v>
      </c>
      <c r="C28" s="2">
        <v>10.1078778037443</v>
      </c>
      <c r="D28" s="2">
        <v>7.58090835280824</v>
      </c>
      <c r="E28" s="2">
        <v>5.05393890187216</v>
      </c>
      <c r="F28">
        <v>45</v>
      </c>
      <c r="H28" s="2">
        <v>8.12328622155365</v>
      </c>
      <c r="I28" s="2">
        <v>31.0286677514532</v>
      </c>
      <c r="J28" s="2">
        <v>11.3925815864196</v>
      </c>
      <c r="K28" s="2">
        <v>8.54443618981473</v>
      </c>
      <c r="L28" s="2">
        <v>5.69629079320982</v>
      </c>
      <c r="M28">
        <v>45</v>
      </c>
      <c r="O28">
        <f t="shared" si="0"/>
        <v>0.32493144886215</v>
      </c>
      <c r="P28">
        <f t="shared" si="1"/>
        <v>0.3482872866901</v>
      </c>
      <c r="Q28">
        <f t="shared" si="2"/>
        <v>1.07187927764375</v>
      </c>
    </row>
    <row r="29" spans="1:17">
      <c r="A29" s="2">
        <v>6.35240097219108</v>
      </c>
      <c r="B29" s="2">
        <v>24.2643843654233</v>
      </c>
      <c r="C29" s="2">
        <v>10.4167568150394</v>
      </c>
      <c r="D29" s="2">
        <v>7.81256761127954</v>
      </c>
      <c r="E29" s="2">
        <v>5.20837840751969</v>
      </c>
      <c r="F29">
        <v>45</v>
      </c>
      <c r="H29" s="2">
        <v>8.44821767041579</v>
      </c>
      <c r="I29" s="2">
        <v>32.2698144615113</v>
      </c>
      <c r="J29" s="2">
        <v>11.7444968145846</v>
      </c>
      <c r="K29" s="2">
        <v>8.80837261093846</v>
      </c>
      <c r="L29" s="2">
        <v>5.87224840729231</v>
      </c>
      <c r="M29">
        <v>45</v>
      </c>
      <c r="O29">
        <f t="shared" si="0"/>
        <v>0.32493144886214</v>
      </c>
      <c r="P29">
        <f t="shared" si="1"/>
        <v>0.351915228165</v>
      </c>
      <c r="Q29">
        <f t="shared" si="2"/>
        <v>1.08304452953801</v>
      </c>
    </row>
    <row r="30" spans="1:17">
      <c r="A30" s="2">
        <v>6.59672408650613</v>
      </c>
      <c r="B30" s="2">
        <v>25.1976299179396</v>
      </c>
      <c r="C30" s="2">
        <v>10.7259255290047</v>
      </c>
      <c r="D30" s="2">
        <v>8.0444441467535</v>
      </c>
      <c r="E30" s="2">
        <v>5.36296276450233</v>
      </c>
      <c r="F30">
        <v>45</v>
      </c>
      <c r="H30" s="2">
        <v>8.77314911927794</v>
      </c>
      <c r="I30" s="2">
        <v>33.5109611715694</v>
      </c>
      <c r="J30" s="2">
        <v>12.0964120427496</v>
      </c>
      <c r="K30" s="2">
        <v>9.07230903206217</v>
      </c>
      <c r="L30" s="2">
        <v>6.04820602137478</v>
      </c>
      <c r="M30">
        <v>45</v>
      </c>
      <c r="O30">
        <f t="shared" si="0"/>
        <v>0.32493144886215</v>
      </c>
      <c r="P30">
        <f t="shared" si="1"/>
        <v>0.351915228165</v>
      </c>
      <c r="Q30">
        <f t="shared" si="2"/>
        <v>1.08304452953797</v>
      </c>
    </row>
    <row r="31" spans="1:17">
      <c r="A31" s="2">
        <v>6.84104720082116</v>
      </c>
      <c r="B31" s="2">
        <v>26.1308754704559</v>
      </c>
      <c r="C31" s="2">
        <v>11.0355943780726</v>
      </c>
      <c r="D31" s="2">
        <v>8.27669578355449</v>
      </c>
      <c r="E31" s="2">
        <v>5.51779718903632</v>
      </c>
      <c r="F31">
        <v>45</v>
      </c>
      <c r="H31" s="2">
        <v>9.09808056814008</v>
      </c>
      <c r="I31" s="2">
        <v>34.7521078816275</v>
      </c>
      <c r="J31" s="2">
        <v>12.4483272709145</v>
      </c>
      <c r="K31" s="2">
        <v>9.3362454531859</v>
      </c>
      <c r="L31" s="2">
        <v>6.22416363545727</v>
      </c>
      <c r="M31">
        <v>45</v>
      </c>
      <c r="O31">
        <f t="shared" si="0"/>
        <v>0.32493144886214</v>
      </c>
      <c r="P31">
        <f t="shared" si="1"/>
        <v>0.3519152281649</v>
      </c>
      <c r="Q31">
        <f t="shared" si="2"/>
        <v>1.0830445295377</v>
      </c>
    </row>
    <row r="32" spans="1:17">
      <c r="A32" s="2">
        <v>7.08537031513621</v>
      </c>
      <c r="B32" s="2">
        <v>27.0641210229722</v>
      </c>
      <c r="C32" s="2">
        <v>11.3459730715656</v>
      </c>
      <c r="D32" s="2">
        <v>8.50947980367419</v>
      </c>
      <c r="E32" s="2">
        <v>5.67298653578279</v>
      </c>
      <c r="F32">
        <v>45</v>
      </c>
      <c r="H32" s="2">
        <v>9.42301201700223</v>
      </c>
      <c r="I32" s="2">
        <v>35.9932545916857</v>
      </c>
      <c r="J32" s="2">
        <v>12.8074964891734</v>
      </c>
      <c r="K32" s="2">
        <v>9.60562236688007</v>
      </c>
      <c r="L32" s="2">
        <v>6.40374824458671</v>
      </c>
      <c r="M32">
        <v>45</v>
      </c>
      <c r="O32">
        <f t="shared" si="0"/>
        <v>0.32493144886215</v>
      </c>
      <c r="P32">
        <f t="shared" si="1"/>
        <v>0.359169218258899</v>
      </c>
      <c r="Q32">
        <f t="shared" si="2"/>
        <v>1.10536920792568</v>
      </c>
    </row>
    <row r="33" spans="1:17">
      <c r="A33" s="2">
        <v>7.32969342945125</v>
      </c>
      <c r="B33" s="2">
        <v>27.9973665754885</v>
      </c>
      <c r="C33" s="2">
        <v>11.6576413859624</v>
      </c>
      <c r="D33" s="2">
        <v>8.74323103947181</v>
      </c>
      <c r="E33" s="2">
        <v>5.82882069298121</v>
      </c>
      <c r="F33">
        <v>45</v>
      </c>
      <c r="H33" s="2">
        <v>9.74794346586437</v>
      </c>
      <c r="I33" s="2">
        <v>37.2344013017438</v>
      </c>
      <c r="J33" s="2">
        <v>13.1673531114325</v>
      </c>
      <c r="K33" s="2">
        <v>9.8755148335744</v>
      </c>
      <c r="L33" s="2">
        <v>6.58367655571627</v>
      </c>
      <c r="M33">
        <v>45</v>
      </c>
      <c r="O33">
        <f t="shared" si="0"/>
        <v>0.32493144886214</v>
      </c>
      <c r="P33">
        <f t="shared" si="1"/>
        <v>0.359856622259102</v>
      </c>
      <c r="Q33">
        <f t="shared" si="2"/>
        <v>1.10748474337976</v>
      </c>
    </row>
    <row r="34" spans="1:17">
      <c r="A34" s="2">
        <v>7.57401654376629</v>
      </c>
      <c r="B34" s="2">
        <v>28.9306121280048</v>
      </c>
      <c r="C34" s="2">
        <v>11.9708520981432</v>
      </c>
      <c r="D34" s="2">
        <v>8.97813907360736</v>
      </c>
      <c r="E34" s="2">
        <v>5.98542604907158</v>
      </c>
      <c r="F34">
        <v>45</v>
      </c>
      <c r="H34" s="2">
        <v>10.0728749147265</v>
      </c>
      <c r="I34" s="2">
        <v>38.4755480118019</v>
      </c>
      <c r="J34" s="2">
        <v>13.5272097336917</v>
      </c>
      <c r="K34" s="2">
        <v>10.1454073002687</v>
      </c>
      <c r="L34" s="2">
        <v>6.76360486684583</v>
      </c>
      <c r="M34">
        <v>45</v>
      </c>
      <c r="O34">
        <f t="shared" si="0"/>
        <v>0.324931448862129</v>
      </c>
      <c r="P34">
        <f t="shared" si="1"/>
        <v>0.359856622259199</v>
      </c>
      <c r="Q34">
        <f t="shared" si="2"/>
        <v>1.1074847433801</v>
      </c>
    </row>
    <row r="35" spans="1:17">
      <c r="A35" s="2">
        <v>7.81833965808133</v>
      </c>
      <c r="B35" s="2">
        <v>29.863857680521</v>
      </c>
      <c r="C35" s="2">
        <v>12.2856446848294</v>
      </c>
      <c r="D35" s="2">
        <v>9.21423351362203</v>
      </c>
      <c r="E35" s="2">
        <v>6.14282234241468</v>
      </c>
      <c r="F35">
        <v>45</v>
      </c>
      <c r="H35" s="2">
        <v>10.3978063635887</v>
      </c>
      <c r="I35" s="2">
        <v>39.71669472186</v>
      </c>
      <c r="J35" s="2">
        <v>13.8964659413405</v>
      </c>
      <c r="K35" s="2">
        <v>10.4223494560054</v>
      </c>
      <c r="L35" s="2">
        <v>6.94823297067025</v>
      </c>
      <c r="M35">
        <v>45</v>
      </c>
      <c r="O35">
        <f t="shared" si="0"/>
        <v>0.3249314488622</v>
      </c>
      <c r="P35">
        <f t="shared" si="1"/>
        <v>0.3692562076488</v>
      </c>
      <c r="Q35">
        <f t="shared" si="2"/>
        <v>1.13641264624218</v>
      </c>
    </row>
    <row r="36" spans="1:17">
      <c r="A36" s="2">
        <v>8.06266277239637</v>
      </c>
      <c r="B36" s="2">
        <v>30.7971032330373</v>
      </c>
      <c r="C36" s="2">
        <v>12.6022214516197</v>
      </c>
      <c r="D36" s="2">
        <v>9.45166608871475</v>
      </c>
      <c r="E36" s="2">
        <v>6.30111072580983</v>
      </c>
      <c r="F36">
        <v>45</v>
      </c>
      <c r="H36" s="2">
        <v>10.7227378124508</v>
      </c>
      <c r="I36" s="2">
        <v>40.9578414319182</v>
      </c>
      <c r="J36" s="2">
        <v>14.2677050882366</v>
      </c>
      <c r="K36" s="2">
        <v>10.7007788161775</v>
      </c>
      <c r="L36" s="2">
        <v>7.13385254411831</v>
      </c>
      <c r="M36">
        <v>45</v>
      </c>
      <c r="O36">
        <f t="shared" si="0"/>
        <v>0.324931448862101</v>
      </c>
      <c r="P36">
        <f t="shared" si="1"/>
        <v>0.3712391468961</v>
      </c>
      <c r="Q36">
        <f t="shared" si="2"/>
        <v>1.14251528498139</v>
      </c>
    </row>
    <row r="37" spans="1:17">
      <c r="A37" s="2">
        <v>8.30698588671141</v>
      </c>
      <c r="B37" s="2">
        <v>31.7303487855536</v>
      </c>
      <c r="C37" s="2">
        <v>12.9208781255322</v>
      </c>
      <c r="D37" s="2">
        <v>9.69065859414918</v>
      </c>
      <c r="E37" s="2">
        <v>6.46043906276612</v>
      </c>
      <c r="F37">
        <v>45</v>
      </c>
      <c r="H37" s="2">
        <v>11.047669261313</v>
      </c>
      <c r="I37" s="2">
        <v>42.1989881419763</v>
      </c>
      <c r="J37" s="2">
        <v>14.6389442351327</v>
      </c>
      <c r="K37" s="2">
        <v>10.9792081763496</v>
      </c>
      <c r="L37" s="2">
        <v>7.31947211756637</v>
      </c>
      <c r="M37">
        <v>45</v>
      </c>
      <c r="O37">
        <f t="shared" si="0"/>
        <v>0.3249314488622</v>
      </c>
      <c r="P37">
        <f t="shared" si="1"/>
        <v>0.3712391468961</v>
      </c>
      <c r="Q37">
        <f t="shared" si="2"/>
        <v>1.14251528498104</v>
      </c>
    </row>
    <row r="38" spans="1:17">
      <c r="A38" s="2">
        <v>8.55130900102646</v>
      </c>
      <c r="B38" s="2">
        <v>32.6635943380699</v>
      </c>
      <c r="C38" s="2">
        <v>13.242568965048</v>
      </c>
      <c r="D38" s="2">
        <v>9.93192672378602</v>
      </c>
      <c r="E38" s="2">
        <v>6.62128448252402</v>
      </c>
      <c r="F38">
        <v>45</v>
      </c>
      <c r="H38" s="2">
        <v>11.3726007101751</v>
      </c>
      <c r="I38" s="2">
        <v>43.4401348520344</v>
      </c>
      <c r="J38" s="2">
        <v>15.0221499692453</v>
      </c>
      <c r="K38" s="2">
        <v>11.266612476934</v>
      </c>
      <c r="L38" s="2">
        <v>7.51107498462265</v>
      </c>
      <c r="M38">
        <v>45</v>
      </c>
      <c r="O38">
        <f t="shared" si="0"/>
        <v>0.324931448862099</v>
      </c>
      <c r="P38">
        <f t="shared" si="1"/>
        <v>0.3832057341126</v>
      </c>
      <c r="Q38">
        <f t="shared" si="2"/>
        <v>1.17934332135155</v>
      </c>
    </row>
    <row r="39" spans="1:17">
      <c r="A39" s="2">
        <v>8.7956321153415</v>
      </c>
      <c r="B39" s="2">
        <v>33.5968398905862</v>
      </c>
      <c r="C39" s="2">
        <v>13.5668285532559</v>
      </c>
      <c r="D39" s="2">
        <v>10.1751214149419</v>
      </c>
      <c r="E39" s="2">
        <v>6.78341427662796</v>
      </c>
      <c r="F39">
        <v>45</v>
      </c>
      <c r="H39" s="2">
        <v>11.6975321590373</v>
      </c>
      <c r="I39" s="2">
        <v>44.6812815620925</v>
      </c>
      <c r="J39" s="2">
        <v>15.4077580180448</v>
      </c>
      <c r="K39" s="2">
        <v>11.5558185135336</v>
      </c>
      <c r="L39" s="2">
        <v>7.70387900902241</v>
      </c>
      <c r="M39">
        <v>45</v>
      </c>
      <c r="O39">
        <f t="shared" si="0"/>
        <v>0.3249314488622</v>
      </c>
      <c r="P39">
        <f t="shared" si="1"/>
        <v>0.385608048799501</v>
      </c>
      <c r="Q39">
        <f t="shared" si="2"/>
        <v>1.18673661829216</v>
      </c>
    </row>
    <row r="40" spans="1:17">
      <c r="A40" s="2">
        <v>9.03995522965654</v>
      </c>
      <c r="B40" s="2">
        <v>34.5300854431024</v>
      </c>
      <c r="C40" s="2">
        <v>13.8938649419999</v>
      </c>
      <c r="D40" s="2">
        <v>10.4203987064999</v>
      </c>
      <c r="E40" s="2">
        <v>6.94693247099996</v>
      </c>
      <c r="F40">
        <v>45</v>
      </c>
      <c r="H40" s="2">
        <v>12.0224636078994</v>
      </c>
      <c r="I40" s="2">
        <v>45.9224282721507</v>
      </c>
      <c r="J40" s="2">
        <v>15.7933660668444</v>
      </c>
      <c r="K40" s="2">
        <v>11.8450245501333</v>
      </c>
      <c r="L40" s="2">
        <v>7.89668303342218</v>
      </c>
      <c r="M40">
        <v>45</v>
      </c>
      <c r="O40">
        <f t="shared" si="0"/>
        <v>0.324931448862101</v>
      </c>
      <c r="P40">
        <f t="shared" si="1"/>
        <v>0.385608048799599</v>
      </c>
      <c r="Q40">
        <f t="shared" si="2"/>
        <v>1.18673661829283</v>
      </c>
    </row>
    <row r="41" spans="1:17">
      <c r="A41" s="2">
        <v>9.28427834397158</v>
      </c>
      <c r="B41" s="2">
        <v>35.4633309956187</v>
      </c>
      <c r="C41" s="2">
        <v>14.223895887473</v>
      </c>
      <c r="D41" s="2">
        <v>10.6679219156048</v>
      </c>
      <c r="E41" s="2">
        <v>7.11194794373652</v>
      </c>
      <c r="F41">
        <v>45</v>
      </c>
      <c r="H41" s="2">
        <v>12.3473950567615</v>
      </c>
      <c r="I41" s="2">
        <v>47.1635749822088</v>
      </c>
      <c r="J41" s="2">
        <v>16.1951466228308</v>
      </c>
      <c r="K41" s="2">
        <v>12.1463599671231</v>
      </c>
      <c r="L41" s="2">
        <v>8.09757331141538</v>
      </c>
      <c r="M41">
        <v>45</v>
      </c>
      <c r="O41">
        <f t="shared" si="0"/>
        <v>0.324931448862099</v>
      </c>
      <c r="P41">
        <f t="shared" si="1"/>
        <v>0.401780555986402</v>
      </c>
      <c r="Q41">
        <f t="shared" si="2"/>
        <v>1.23650867711767</v>
      </c>
    </row>
    <row r="42" spans="1:17">
      <c r="A42" s="2">
        <v>9.52860145828662</v>
      </c>
      <c r="B42" s="2">
        <v>36.396576548135</v>
      </c>
      <c r="C42" s="2">
        <v>14.5571471586779</v>
      </c>
      <c r="D42" s="2">
        <v>10.9178603690084</v>
      </c>
      <c r="E42" s="2">
        <v>7.27857357933893</v>
      </c>
      <c r="F42">
        <v>45</v>
      </c>
      <c r="H42" s="2">
        <v>12.6723265056237</v>
      </c>
      <c r="I42" s="2">
        <v>48.4047216922669</v>
      </c>
      <c r="J42" s="2">
        <v>16.5977540371199</v>
      </c>
      <c r="K42" s="2">
        <v>12.4483155278399</v>
      </c>
      <c r="L42" s="2">
        <v>8.29887701855994</v>
      </c>
      <c r="M42">
        <v>45</v>
      </c>
      <c r="O42">
        <f t="shared" si="0"/>
        <v>0.3249314488622</v>
      </c>
      <c r="P42">
        <f t="shared" si="1"/>
        <v>0.402607414289097</v>
      </c>
      <c r="Q42">
        <f t="shared" si="2"/>
        <v>1.23905339325846</v>
      </c>
    </row>
    <row r="43" spans="1:17">
      <c r="A43" s="2">
        <v>9.77292457260167</v>
      </c>
      <c r="B43" s="2">
        <v>37.3298221006513</v>
      </c>
      <c r="C43" s="2">
        <v>14.8945986743255</v>
      </c>
      <c r="D43" s="2">
        <v>11.1709490057441</v>
      </c>
      <c r="E43" s="2">
        <v>7.44729933716273</v>
      </c>
      <c r="F43">
        <v>45</v>
      </c>
      <c r="H43" s="2">
        <v>12.9972579544858</v>
      </c>
      <c r="I43" s="2">
        <v>49.645868402325</v>
      </c>
      <c r="J43" s="2">
        <v>17.0040673779908</v>
      </c>
      <c r="K43" s="2">
        <v>12.7530505334931</v>
      </c>
      <c r="L43" s="2">
        <v>8.5020336889954</v>
      </c>
      <c r="M43">
        <v>45</v>
      </c>
      <c r="O43">
        <f t="shared" si="0"/>
        <v>0.324931448862101</v>
      </c>
      <c r="P43">
        <f t="shared" si="1"/>
        <v>0.406313340870902</v>
      </c>
      <c r="Q43">
        <f t="shared" si="2"/>
        <v>1.25045864995155</v>
      </c>
    </row>
    <row r="44" spans="1:17">
      <c r="A44" s="2">
        <v>10.0172476869167</v>
      </c>
      <c r="B44" s="2">
        <v>38.2630676531676</v>
      </c>
      <c r="C44" s="2">
        <v>15.2359005943259</v>
      </c>
      <c r="D44" s="2">
        <v>11.4269254457444</v>
      </c>
      <c r="E44" s="2">
        <v>7.61795029716295</v>
      </c>
      <c r="F44">
        <v>45</v>
      </c>
      <c r="H44" s="2">
        <v>13.322189403348</v>
      </c>
      <c r="I44" s="2">
        <v>50.8870151123832</v>
      </c>
      <c r="J44" s="2">
        <v>17.4260196706185</v>
      </c>
      <c r="K44" s="2">
        <v>13.0695147529639</v>
      </c>
      <c r="L44" s="2">
        <v>8.71300983530927</v>
      </c>
      <c r="M44">
        <v>45</v>
      </c>
      <c r="O44">
        <f t="shared" si="0"/>
        <v>0.3249314488622</v>
      </c>
      <c r="P44">
        <f t="shared" si="1"/>
        <v>0.421952292627701</v>
      </c>
      <c r="Q44">
        <f t="shared" si="2"/>
        <v>1.29858865340746</v>
      </c>
    </row>
    <row r="45" spans="1:17">
      <c r="A45" s="2">
        <v>10.2615708012317</v>
      </c>
      <c r="B45" s="2">
        <v>39.1963132056839</v>
      </c>
      <c r="C45" s="2">
        <v>15.5811147642995</v>
      </c>
      <c r="D45" s="2">
        <v>11.6858360732246</v>
      </c>
      <c r="E45" s="2">
        <v>7.79055738214973</v>
      </c>
      <c r="F45">
        <v>45</v>
      </c>
      <c r="H45" s="2">
        <v>13.6471208522101</v>
      </c>
      <c r="I45" s="2">
        <v>52.1281618224413</v>
      </c>
      <c r="J45" s="2">
        <v>17.8479719632463</v>
      </c>
      <c r="K45" s="2">
        <v>13.3859789724347</v>
      </c>
      <c r="L45" s="2">
        <v>8.92398598162315</v>
      </c>
      <c r="M45">
        <v>45</v>
      </c>
      <c r="O45">
        <f t="shared" si="0"/>
        <v>0.324931448862101</v>
      </c>
      <c r="P45">
        <f t="shared" si="1"/>
        <v>0.4219522926278</v>
      </c>
      <c r="Q45">
        <f t="shared" si="2"/>
        <v>1.29858865340817</v>
      </c>
    </row>
    <row r="46" spans="1:17">
      <c r="A46" s="2">
        <v>10.5058939155468</v>
      </c>
      <c r="B46" s="2">
        <v>40.1295587582001</v>
      </c>
      <c r="C46" s="2">
        <v>15.9304559227854</v>
      </c>
      <c r="D46" s="2">
        <v>11.9478419420891</v>
      </c>
      <c r="E46" s="2">
        <v>7.96522796139271</v>
      </c>
      <c r="F46">
        <v>45</v>
      </c>
      <c r="H46" s="2">
        <v>13.9720523010723</v>
      </c>
      <c r="I46" s="2">
        <v>53.3693085324994</v>
      </c>
      <c r="J46" s="2">
        <v>18.2819044335648</v>
      </c>
      <c r="K46" s="2">
        <v>13.7114283251736</v>
      </c>
      <c r="L46" s="2">
        <v>9.14095221678239</v>
      </c>
      <c r="M46">
        <v>45</v>
      </c>
      <c r="O46">
        <f t="shared" si="0"/>
        <v>0.324931448862198</v>
      </c>
      <c r="P46">
        <f t="shared" si="1"/>
        <v>0.433932470318499</v>
      </c>
      <c r="Q46">
        <f t="shared" si="2"/>
        <v>1.33545851544375</v>
      </c>
    </row>
    <row r="47" spans="1:17">
      <c r="A47" s="2">
        <v>10.7502170298618</v>
      </c>
      <c r="B47" s="2">
        <v>41.0628043107164</v>
      </c>
      <c r="C47" s="2">
        <v>16.2841384856056</v>
      </c>
      <c r="D47" s="2">
        <v>12.2131038642042</v>
      </c>
      <c r="E47" s="2">
        <v>8.14206924280282</v>
      </c>
      <c r="F47">
        <v>45</v>
      </c>
      <c r="H47" s="2">
        <v>14.2969837499344</v>
      </c>
      <c r="I47" s="2">
        <v>54.6104552425575</v>
      </c>
      <c r="J47" s="2">
        <v>18.725314694145</v>
      </c>
      <c r="K47" s="2">
        <v>14.0439860206087</v>
      </c>
      <c r="L47" s="2">
        <v>9.3626573470725</v>
      </c>
      <c r="M47">
        <v>45</v>
      </c>
      <c r="O47">
        <f t="shared" si="0"/>
        <v>0.324931448862101</v>
      </c>
      <c r="P47">
        <f t="shared" si="1"/>
        <v>0.443410260580198</v>
      </c>
      <c r="Q47">
        <f t="shared" si="2"/>
        <v>1.36462709944822</v>
      </c>
    </row>
    <row r="48" spans="1:17">
      <c r="A48" s="2">
        <v>10.9945401441769</v>
      </c>
      <c r="B48" s="2">
        <v>41.9960498632327</v>
      </c>
      <c r="C48" s="2">
        <v>16.6423740430476</v>
      </c>
      <c r="D48" s="2">
        <v>12.4817805322857</v>
      </c>
      <c r="E48" s="2">
        <v>8.32118702152381</v>
      </c>
      <c r="F48">
        <v>45</v>
      </c>
      <c r="H48" s="2">
        <v>14.6219151987966</v>
      </c>
      <c r="I48" s="2">
        <v>55.8516019526157</v>
      </c>
      <c r="J48" s="2">
        <v>19.1699518452151</v>
      </c>
      <c r="K48" s="2">
        <v>14.3774638839113</v>
      </c>
      <c r="L48" s="2">
        <v>9.58497592260753</v>
      </c>
      <c r="M48">
        <v>45</v>
      </c>
      <c r="O48">
        <f t="shared" si="0"/>
        <v>0.3249314488622</v>
      </c>
      <c r="P48">
        <f t="shared" si="1"/>
        <v>0.444637151070101</v>
      </c>
      <c r="Q48">
        <f t="shared" si="2"/>
        <v>1.36840294353492</v>
      </c>
    </row>
    <row r="49" spans="1:17">
      <c r="A49" s="2">
        <v>11.2388632584919</v>
      </c>
      <c r="B49" s="2">
        <v>42.929295415749</v>
      </c>
      <c r="C49" s="2">
        <v>17.0053688433064</v>
      </c>
      <c r="D49" s="2">
        <v>12.7540266324798</v>
      </c>
      <c r="E49" s="2">
        <v>8.50268442165321</v>
      </c>
      <c r="F49">
        <v>45</v>
      </c>
      <c r="H49" s="2">
        <v>14.9468466476587</v>
      </c>
      <c r="I49" s="2">
        <v>57.0927486626738</v>
      </c>
      <c r="J49" s="2">
        <v>19.6367411575222</v>
      </c>
      <c r="K49" s="2">
        <v>14.7275558681417</v>
      </c>
      <c r="L49" s="2">
        <v>9.81837057876112</v>
      </c>
      <c r="M49">
        <v>45</v>
      </c>
      <c r="O49">
        <f t="shared" si="0"/>
        <v>0.324931448862101</v>
      </c>
      <c r="P49">
        <f t="shared" si="1"/>
        <v>0.4667893123071</v>
      </c>
      <c r="Q49">
        <f t="shared" si="2"/>
        <v>1.43657781954249</v>
      </c>
    </row>
    <row r="50" spans="1:17">
      <c r="A50" s="2">
        <v>11.483186372807</v>
      </c>
      <c r="B50" s="2">
        <v>43.8625409682653</v>
      </c>
      <c r="C50" s="2">
        <v>17.3733275429416</v>
      </c>
      <c r="D50" s="2">
        <v>13.0299956572062</v>
      </c>
      <c r="E50" s="2">
        <v>8.68666377147079</v>
      </c>
      <c r="F50">
        <v>45</v>
      </c>
      <c r="H50" s="2">
        <v>15.2717780965209</v>
      </c>
      <c r="I50" s="2">
        <v>58.3338953727319</v>
      </c>
      <c r="J50" s="2">
        <v>20.1035304698294</v>
      </c>
      <c r="K50" s="2">
        <v>15.0776478523721</v>
      </c>
      <c r="L50" s="2">
        <v>10.0517652349147</v>
      </c>
      <c r="M50">
        <v>45</v>
      </c>
      <c r="O50">
        <f t="shared" si="0"/>
        <v>0.324931448862198</v>
      </c>
      <c r="P50">
        <f t="shared" si="1"/>
        <v>0.466789312307203</v>
      </c>
      <c r="Q50">
        <f t="shared" si="2"/>
        <v>1.43657781954238</v>
      </c>
    </row>
    <row r="51" spans="1:17">
      <c r="A51" s="2">
        <v>11.727509487122</v>
      </c>
      <c r="B51" s="2">
        <v>44.7957865207816</v>
      </c>
      <c r="C51" s="2">
        <v>17.7468911408706</v>
      </c>
      <c r="D51" s="2">
        <v>13.3101683556529</v>
      </c>
      <c r="E51" s="2">
        <v>8.87344557043528</v>
      </c>
      <c r="F51">
        <v>45</v>
      </c>
      <c r="H51" s="2">
        <v>15.596709545383</v>
      </c>
      <c r="I51" s="2">
        <v>59.5750420827901</v>
      </c>
      <c r="J51" s="2">
        <v>20.587218212847</v>
      </c>
      <c r="K51" s="2">
        <v>15.4404136596352</v>
      </c>
      <c r="L51" s="2">
        <v>10.2936091064235</v>
      </c>
      <c r="M51">
        <v>45</v>
      </c>
      <c r="O51">
        <f t="shared" si="0"/>
        <v>0.324931448862101</v>
      </c>
      <c r="P51">
        <f t="shared" si="1"/>
        <v>0.483687743017597</v>
      </c>
      <c r="Q51">
        <f t="shared" si="2"/>
        <v>1.48858396043675</v>
      </c>
    </row>
    <row r="52" spans="1:17">
      <c r="A52" s="2">
        <v>11.971832601437</v>
      </c>
      <c r="B52" s="2">
        <v>45.7290320732978</v>
      </c>
      <c r="C52" s="2">
        <v>18.1256937366742</v>
      </c>
      <c r="D52" s="2">
        <v>13.5942703025057</v>
      </c>
      <c r="E52" s="2">
        <v>9.06284686833711</v>
      </c>
      <c r="F52">
        <v>45</v>
      </c>
      <c r="H52" s="2">
        <v>15.9216409942451</v>
      </c>
      <c r="I52" s="2">
        <v>60.8161887928482</v>
      </c>
      <c r="J52" s="2">
        <v>21.0791483354468</v>
      </c>
      <c r="K52" s="2">
        <v>15.8093612515851</v>
      </c>
      <c r="L52" s="2">
        <v>10.5395741677234</v>
      </c>
      <c r="M52">
        <v>45</v>
      </c>
      <c r="O52">
        <f t="shared" si="0"/>
        <v>0.324931448862101</v>
      </c>
      <c r="P52">
        <f t="shared" si="1"/>
        <v>0.491930122599801</v>
      </c>
      <c r="Q52">
        <f t="shared" si="2"/>
        <v>1.51395047885492</v>
      </c>
    </row>
    <row r="53" spans="1:17">
      <c r="A53" s="2">
        <v>12.2161557157521</v>
      </c>
      <c r="B53" s="2">
        <v>46.6622776258141</v>
      </c>
      <c r="C53" s="2">
        <v>18.5098898605093</v>
      </c>
      <c r="D53" s="2">
        <v>13.882417395382</v>
      </c>
      <c r="E53" s="2">
        <v>9.25494493025467</v>
      </c>
      <c r="F53">
        <v>45</v>
      </c>
      <c r="H53" s="2">
        <v>16.2465724431073</v>
      </c>
      <c r="I53" s="2">
        <v>62.0573355029063</v>
      </c>
      <c r="J53" s="2">
        <v>21.5821477177599</v>
      </c>
      <c r="K53" s="2">
        <v>16.1866107883199</v>
      </c>
      <c r="L53" s="2">
        <v>10.7910738588799</v>
      </c>
      <c r="M53">
        <v>45</v>
      </c>
      <c r="O53">
        <f t="shared" si="0"/>
        <v>0.3249314488622</v>
      </c>
      <c r="P53">
        <f t="shared" si="1"/>
        <v>0.502999382313099</v>
      </c>
      <c r="Q53">
        <f t="shared" si="2"/>
        <v>1.54801692502967</v>
      </c>
    </row>
    <row r="54" spans="1:17">
      <c r="A54" s="2">
        <v>12.4604788300671</v>
      </c>
      <c r="B54" s="2">
        <v>47.5955231783304</v>
      </c>
      <c r="C54" s="2">
        <v>18.8996192754269</v>
      </c>
      <c r="D54" s="2">
        <v>14.1747144565702</v>
      </c>
      <c r="E54" s="2">
        <v>9.44980963771346</v>
      </c>
      <c r="F54">
        <v>45</v>
      </c>
      <c r="H54" s="2">
        <v>16.5715038919694</v>
      </c>
      <c r="I54" s="2">
        <v>63.2984822129644</v>
      </c>
      <c r="J54" s="2">
        <v>22.1008491521897</v>
      </c>
      <c r="K54" s="2">
        <v>16.5756368641423</v>
      </c>
      <c r="L54" s="2">
        <v>11.0504245760948</v>
      </c>
      <c r="M54">
        <v>45</v>
      </c>
      <c r="O54">
        <f t="shared" si="0"/>
        <v>0.324931448862099</v>
      </c>
      <c r="P54">
        <f t="shared" si="1"/>
        <v>0.518701434429801</v>
      </c>
      <c r="Q54">
        <f t="shared" si="2"/>
        <v>1.5963411244011</v>
      </c>
    </row>
    <row r="55" spans="1:17">
      <c r="A55" s="2">
        <v>12.7048019443822</v>
      </c>
      <c r="B55" s="2">
        <v>48.5287687308467</v>
      </c>
      <c r="C55" s="2">
        <v>19.2950047793272</v>
      </c>
      <c r="D55" s="2">
        <v>14.4712535844954</v>
      </c>
      <c r="E55" s="2">
        <v>9.64750238966358</v>
      </c>
      <c r="F55">
        <v>45</v>
      </c>
      <c r="H55" s="2">
        <v>16.8964353408316</v>
      </c>
      <c r="I55" s="2">
        <v>64.5396289230226</v>
      </c>
      <c r="J55" s="2">
        <v>22.6272294510982</v>
      </c>
      <c r="K55" s="2">
        <v>16.9704220883236</v>
      </c>
      <c r="L55" s="2">
        <v>11.3136147255491</v>
      </c>
      <c r="M55">
        <v>45</v>
      </c>
      <c r="O55">
        <f t="shared" si="0"/>
        <v>0.324931448862202</v>
      </c>
      <c r="P55">
        <f t="shared" si="1"/>
        <v>0.526380298908499</v>
      </c>
      <c r="Q55">
        <f t="shared" si="2"/>
        <v>1.61997338439139</v>
      </c>
    </row>
    <row r="56" spans="1:17">
      <c r="A56" s="2">
        <v>12.9491250586972</v>
      </c>
      <c r="B56" s="2">
        <v>49.462014283363</v>
      </c>
      <c r="C56" s="2">
        <v>19.6961501324713</v>
      </c>
      <c r="D56" s="2">
        <v>14.7721125993534</v>
      </c>
      <c r="E56" s="2">
        <v>9.84807506623563</v>
      </c>
      <c r="F56">
        <v>45</v>
      </c>
      <c r="H56" s="2">
        <v>17.2213667896937</v>
      </c>
      <c r="I56" s="2">
        <v>65.7807756330807</v>
      </c>
      <c r="J56" s="2">
        <v>23.1742272109981</v>
      </c>
      <c r="K56" s="2">
        <v>17.3806704082485</v>
      </c>
      <c r="L56" s="2">
        <v>11.587113605499</v>
      </c>
      <c r="M56">
        <v>45</v>
      </c>
      <c r="O56">
        <f t="shared" si="0"/>
        <v>0.324931448862099</v>
      </c>
      <c r="P56">
        <f t="shared" si="1"/>
        <v>0.546997759899902</v>
      </c>
      <c r="Q56">
        <f t="shared" si="2"/>
        <v>1.68342510955918</v>
      </c>
    </row>
    <row r="57" spans="1:17">
      <c r="A57" s="2">
        <v>13.1934481730122</v>
      </c>
      <c r="B57" s="2">
        <v>50.3952598358792</v>
      </c>
      <c r="C57" s="2">
        <v>20.1031381216409</v>
      </c>
      <c r="D57" s="2">
        <v>15.0773535912307</v>
      </c>
      <c r="E57" s="2">
        <v>10.0515690608205</v>
      </c>
      <c r="F57">
        <v>45</v>
      </c>
      <c r="H57" s="2">
        <v>17.5462982385559</v>
      </c>
      <c r="I57" s="2">
        <v>67.0219223431388</v>
      </c>
      <c r="J57" s="2">
        <v>23.7283653081711</v>
      </c>
      <c r="K57" s="2">
        <v>17.7962739811283</v>
      </c>
      <c r="L57" s="2">
        <v>11.8641826540856</v>
      </c>
      <c r="M57">
        <v>45</v>
      </c>
      <c r="O57">
        <f t="shared" si="0"/>
        <v>0.324931448862198</v>
      </c>
      <c r="P57">
        <f t="shared" si="1"/>
        <v>0.554138097172999</v>
      </c>
      <c r="Q57">
        <f t="shared" si="2"/>
        <v>1.70540001318249</v>
      </c>
    </row>
    <row r="58" spans="1:17">
      <c r="A58" s="2">
        <v>13.4377712873273</v>
      </c>
      <c r="B58" s="2">
        <v>51.3285053883955</v>
      </c>
      <c r="C58" s="2">
        <v>20.516028769633</v>
      </c>
      <c r="D58" s="2">
        <v>15.3870215772247</v>
      </c>
      <c r="E58" s="2">
        <v>10.2580143848165</v>
      </c>
      <c r="F58">
        <v>45</v>
      </c>
      <c r="H58" s="2">
        <v>17.871229687418</v>
      </c>
      <c r="I58" s="2">
        <v>68.2630690531969</v>
      </c>
      <c r="J58" s="2">
        <v>24.305104169858</v>
      </c>
      <c r="K58" s="2">
        <v>18.2288281273935</v>
      </c>
      <c r="L58" s="2">
        <v>12.152552084929</v>
      </c>
      <c r="M58">
        <v>45</v>
      </c>
      <c r="O58">
        <f t="shared" si="0"/>
        <v>0.324931448862102</v>
      </c>
      <c r="P58">
        <f t="shared" si="1"/>
        <v>0.576738861686902</v>
      </c>
      <c r="Q58">
        <f t="shared" si="2"/>
        <v>1.77495549817237</v>
      </c>
    </row>
    <row r="59" spans="1:17">
      <c r="A59" s="2">
        <v>13.6820944016423</v>
      </c>
      <c r="B59" s="2">
        <v>52.2617509409118</v>
      </c>
      <c r="C59" s="2">
        <v>20.9348576965853</v>
      </c>
      <c r="D59" s="2">
        <v>15.701143272439</v>
      </c>
      <c r="E59" s="2">
        <v>10.4674288482926</v>
      </c>
      <c r="F59">
        <v>45</v>
      </c>
      <c r="H59" s="2">
        <v>18.1961611362802</v>
      </c>
      <c r="I59" s="2">
        <v>69.5042157632551</v>
      </c>
      <c r="J59" s="2">
        <v>24.8916041590559</v>
      </c>
      <c r="K59" s="2">
        <v>18.6687031192919</v>
      </c>
      <c r="L59" s="2">
        <v>12.445802079528</v>
      </c>
      <c r="M59">
        <v>45</v>
      </c>
      <c r="O59">
        <f t="shared" si="0"/>
        <v>0.324931448862198</v>
      </c>
      <c r="P59">
        <f t="shared" si="1"/>
        <v>0.586499989197897</v>
      </c>
      <c r="Q59">
        <f t="shared" si="2"/>
        <v>1.80499607302286</v>
      </c>
    </row>
    <row r="60" spans="1:17">
      <c r="A60" s="2">
        <v>13.9264175159574</v>
      </c>
      <c r="B60" s="2">
        <v>53.1949964934281</v>
      </c>
      <c r="C60" s="2">
        <v>21.3596346376456</v>
      </c>
      <c r="D60" s="2">
        <v>16.0197259782342</v>
      </c>
      <c r="E60" s="2">
        <v>10.6798173188228</v>
      </c>
      <c r="F60">
        <v>45</v>
      </c>
      <c r="H60" s="2">
        <v>18.5210925851423</v>
      </c>
      <c r="I60" s="2">
        <v>70.7453624733132</v>
      </c>
      <c r="J60" s="2">
        <v>25.4994748166572</v>
      </c>
      <c r="K60" s="2">
        <v>19.1246061124929</v>
      </c>
      <c r="L60" s="2">
        <v>12.7497374083286</v>
      </c>
      <c r="M60">
        <v>45</v>
      </c>
      <c r="O60">
        <f t="shared" si="0"/>
        <v>0.324931448862099</v>
      </c>
      <c r="P60">
        <f t="shared" si="1"/>
        <v>0.607870657601303</v>
      </c>
      <c r="Q60">
        <f t="shared" si="2"/>
        <v>1.87076584839679</v>
      </c>
    </row>
    <row r="61" spans="1:17">
      <c r="A61" s="2">
        <v>14.1707406302724</v>
      </c>
      <c r="B61" s="2">
        <v>54.1282420459444</v>
      </c>
      <c r="C61" s="2">
        <v>21.790342119704</v>
      </c>
      <c r="D61" s="2">
        <v>16.342756589778</v>
      </c>
      <c r="E61" s="2">
        <v>10.895171059852</v>
      </c>
      <c r="F61">
        <v>45</v>
      </c>
      <c r="H61" s="2">
        <v>18.8460240340045</v>
      </c>
      <c r="I61" s="2">
        <v>71.9865091833713</v>
      </c>
      <c r="J61" s="2">
        <v>26.1231280460658</v>
      </c>
      <c r="K61" s="2">
        <v>19.5923460345494</v>
      </c>
      <c r="L61" s="2">
        <v>13.0615640230329</v>
      </c>
      <c r="M61">
        <v>45</v>
      </c>
      <c r="O61">
        <f t="shared" si="0"/>
        <v>0.324931448862202</v>
      </c>
      <c r="P61">
        <f t="shared" si="1"/>
        <v>0.6236532294086</v>
      </c>
      <c r="Q61">
        <f t="shared" si="2"/>
        <v>1.91933785292996</v>
      </c>
    </row>
    <row r="62" spans="1:17">
      <c r="A62" s="2">
        <v>14.4150637445875</v>
      </c>
      <c r="B62" s="2">
        <v>55.0614875984606</v>
      </c>
      <c r="C62" s="2">
        <v>22.2269924789055</v>
      </c>
      <c r="D62" s="2">
        <v>16.6702443591791</v>
      </c>
      <c r="E62" s="2">
        <v>11.1134962394527</v>
      </c>
      <c r="F62">
        <v>45</v>
      </c>
      <c r="H62" s="2">
        <v>19.1709554828666</v>
      </c>
      <c r="I62" s="2">
        <v>73.2276558934294</v>
      </c>
      <c r="J62" s="2">
        <v>26.7634953418808</v>
      </c>
      <c r="K62" s="2">
        <v>20.0726215064106</v>
      </c>
      <c r="L62" s="2">
        <v>13.3817476709404</v>
      </c>
      <c r="M62">
        <v>45</v>
      </c>
      <c r="O62">
        <f t="shared" si="0"/>
        <v>0.324931448862099</v>
      </c>
      <c r="P62">
        <f t="shared" si="1"/>
        <v>0.640367295815</v>
      </c>
      <c r="Q62">
        <f t="shared" si="2"/>
        <v>1.97077659936442</v>
      </c>
    </row>
    <row r="63" spans="1:17">
      <c r="A63" s="2">
        <v>14.6593868589025</v>
      </c>
      <c r="B63" s="2">
        <v>55.9947331509769</v>
      </c>
      <c r="C63" s="2">
        <v>22.669847263375</v>
      </c>
      <c r="D63" s="2">
        <v>17.0023854475313</v>
      </c>
      <c r="E63" s="2">
        <v>11.3349236316875</v>
      </c>
      <c r="F63">
        <v>45</v>
      </c>
      <c r="H63" s="2">
        <v>19.4958869317287</v>
      </c>
      <c r="I63" s="2">
        <v>74.4688026034876</v>
      </c>
      <c r="J63" s="2">
        <v>27.4292815269034</v>
      </c>
      <c r="K63" s="2">
        <v>20.5719611451775</v>
      </c>
      <c r="L63" s="2">
        <v>13.7146407634517</v>
      </c>
      <c r="M63">
        <v>45</v>
      </c>
      <c r="O63">
        <f t="shared" si="0"/>
        <v>0.324931448862099</v>
      </c>
      <c r="P63">
        <f t="shared" si="1"/>
        <v>0.665786185022597</v>
      </c>
      <c r="Q63">
        <f t="shared" si="2"/>
        <v>2.04900506661993</v>
      </c>
    </row>
    <row r="64" spans="1:17">
      <c r="A64" s="2">
        <v>14.9037099732175</v>
      </c>
      <c r="B64" s="2">
        <v>56.9279787034932</v>
      </c>
      <c r="C64" s="2">
        <v>23.1184322664639</v>
      </c>
      <c r="D64" s="2">
        <v>17.3388241998479</v>
      </c>
      <c r="E64" s="2">
        <v>11.5592161332319</v>
      </c>
      <c r="F64">
        <v>45</v>
      </c>
      <c r="H64" s="2">
        <v>19.8208183805909</v>
      </c>
      <c r="I64" s="2">
        <v>75.7099493135457</v>
      </c>
      <c r="J64" s="2">
        <v>28.1071349458333</v>
      </c>
      <c r="K64" s="2">
        <v>21.080351209375</v>
      </c>
      <c r="L64" s="2">
        <v>14.0535674729166</v>
      </c>
      <c r="M64">
        <v>45</v>
      </c>
      <c r="O64">
        <f t="shared" si="0"/>
        <v>0.324931448862202</v>
      </c>
      <c r="P64">
        <f t="shared" si="1"/>
        <v>0.677853418929903</v>
      </c>
      <c r="Q64">
        <f t="shared" si="2"/>
        <v>2.08614285044896</v>
      </c>
    </row>
    <row r="65" spans="1:17">
      <c r="A65" s="2">
        <v>15.1480330875326</v>
      </c>
      <c r="B65" s="2">
        <v>57.8612242560095</v>
      </c>
      <c r="C65" s="2">
        <v>23.5725978316002</v>
      </c>
      <c r="D65" s="2">
        <v>17.6794483737001</v>
      </c>
      <c r="E65" s="2">
        <v>11.7862989158001</v>
      </c>
      <c r="F65">
        <v>45</v>
      </c>
      <c r="H65" s="2">
        <v>20.145749829453</v>
      </c>
      <c r="I65" s="2">
        <v>76.9510960236038</v>
      </c>
      <c r="J65" s="2">
        <v>28.8166468288088</v>
      </c>
      <c r="K65" s="2">
        <v>21.6124851216066</v>
      </c>
      <c r="L65" s="2">
        <v>14.4083234144044</v>
      </c>
      <c r="M65">
        <v>45</v>
      </c>
      <c r="O65">
        <f t="shared" si="0"/>
        <v>0.324931448862099</v>
      </c>
      <c r="P65">
        <f t="shared" si="1"/>
        <v>0.709511882975498</v>
      </c>
      <c r="Q65">
        <f t="shared" si="2"/>
        <v>2.18357405988306</v>
      </c>
    </row>
    <row r="66" spans="1:17">
      <c r="A66" s="2">
        <v>15.3923562018476</v>
      </c>
      <c r="B66" s="2">
        <v>58.7944698085258</v>
      </c>
      <c r="C66" s="2">
        <v>24.0321622174611</v>
      </c>
      <c r="D66" s="2">
        <v>18.0241216630958</v>
      </c>
      <c r="E66" s="2">
        <v>12.0160811087306</v>
      </c>
      <c r="F66">
        <v>45</v>
      </c>
      <c r="H66" s="2">
        <v>20.4706812783152</v>
      </c>
      <c r="I66" s="2">
        <v>78.1922427336619</v>
      </c>
      <c r="J66" s="2">
        <v>29.5458875611097</v>
      </c>
      <c r="K66" s="2">
        <v>22.1594156708323</v>
      </c>
      <c r="L66" s="2">
        <v>14.7729437805549</v>
      </c>
      <c r="M66">
        <v>45</v>
      </c>
      <c r="O66">
        <f t="shared" si="0"/>
        <v>0.324931448862202</v>
      </c>
      <c r="P66">
        <f t="shared" si="1"/>
        <v>0.729240732300902</v>
      </c>
      <c r="Q66">
        <f t="shared" si="2"/>
        <v>2.24429101847313</v>
      </c>
    </row>
    <row r="67" spans="1:17">
      <c r="A67" s="2">
        <v>15.6366793161627</v>
      </c>
      <c r="B67" s="2">
        <v>59.7277153610421</v>
      </c>
      <c r="C67" s="2">
        <v>24.496911344918</v>
      </c>
      <c r="D67" s="2">
        <v>18.3726835086885</v>
      </c>
      <c r="E67" s="2">
        <v>12.248455672459</v>
      </c>
      <c r="F67">
        <v>45</v>
      </c>
      <c r="H67" s="2">
        <v>20.7956127271773</v>
      </c>
      <c r="I67" s="2">
        <v>79.4333894437201</v>
      </c>
      <c r="J67" s="2">
        <v>30.2939989254032</v>
      </c>
      <c r="K67" s="2">
        <v>22.7204991940524</v>
      </c>
      <c r="L67" s="2">
        <v>15.1469994627016</v>
      </c>
      <c r="M67">
        <v>45</v>
      </c>
      <c r="O67">
        <f t="shared" si="0"/>
        <v>0.324931448862099</v>
      </c>
      <c r="P67">
        <f t="shared" si="1"/>
        <v>0.7481113642935</v>
      </c>
      <c r="Q67">
        <f t="shared" si="2"/>
        <v>2.30236675124358</v>
      </c>
    </row>
    <row r="68" spans="1:17">
      <c r="A68" s="2">
        <v>15.8810024304777</v>
      </c>
      <c r="B68" s="2">
        <v>60.6609609135583</v>
      </c>
      <c r="C68" s="2">
        <v>24.9665986803919</v>
      </c>
      <c r="D68" s="2">
        <v>18.7249490102939</v>
      </c>
      <c r="E68" s="2">
        <v>12.483299340196</v>
      </c>
      <c r="F68">
        <v>45</v>
      </c>
      <c r="H68" s="2">
        <v>21.1205441760395</v>
      </c>
      <c r="I68" s="2">
        <v>80.6745361537782</v>
      </c>
      <c r="J68" s="2">
        <v>31.0786623488386</v>
      </c>
      <c r="K68" s="2">
        <v>23.308996761629</v>
      </c>
      <c r="L68" s="2">
        <v>15.5393311744193</v>
      </c>
      <c r="M68">
        <v>45</v>
      </c>
      <c r="O68">
        <f t="shared" ref="O68:O102" si="3">H68-H67</f>
        <v>0.324931448862198</v>
      </c>
      <c r="P68">
        <f t="shared" ref="P68:P102" si="4">J68-J67</f>
        <v>0.784663423435397</v>
      </c>
      <c r="Q68">
        <f t="shared" ref="Q68:Q102" si="5">P68/O68</f>
        <v>2.41485835299423</v>
      </c>
    </row>
    <row r="69" spans="1:17">
      <c r="A69" s="2">
        <v>16.1253255447927</v>
      </c>
      <c r="B69" s="2">
        <v>61.5942064660746</v>
      </c>
      <c r="C69" s="2">
        <v>25.4409452486952</v>
      </c>
      <c r="D69" s="2">
        <v>19.0807089365214</v>
      </c>
      <c r="E69" s="2">
        <v>12.7204726243476</v>
      </c>
      <c r="F69">
        <v>45</v>
      </c>
      <c r="H69" s="2">
        <v>21.4454756249016</v>
      </c>
      <c r="I69" s="2">
        <v>81.9156828638363</v>
      </c>
      <c r="J69" s="2">
        <v>31.8886999883611</v>
      </c>
      <c r="K69" s="2">
        <v>23.9165249912708</v>
      </c>
      <c r="L69" s="2">
        <v>15.9443499941806</v>
      </c>
      <c r="M69">
        <v>45</v>
      </c>
      <c r="O69">
        <f t="shared" si="3"/>
        <v>0.324931448862102</v>
      </c>
      <c r="P69">
        <f t="shared" si="4"/>
        <v>0.810037639522502</v>
      </c>
      <c r="Q69">
        <f t="shared" si="5"/>
        <v>2.49294933549591</v>
      </c>
    </row>
    <row r="70" spans="1:17">
      <c r="A70" s="2">
        <v>16.3696486591078</v>
      </c>
      <c r="B70" s="2">
        <v>62.5274520185909</v>
      </c>
      <c r="C70" s="2">
        <v>25.9200805490743</v>
      </c>
      <c r="D70" s="2">
        <v>19.4400604118058</v>
      </c>
      <c r="E70" s="2">
        <v>12.9600402745372</v>
      </c>
      <c r="F70">
        <v>45</v>
      </c>
      <c r="H70" s="2">
        <v>21.7704070737638</v>
      </c>
      <c r="I70" s="2">
        <v>83.1568295738944</v>
      </c>
      <c r="J70" s="2">
        <v>32.7255380528761</v>
      </c>
      <c r="K70" s="2">
        <v>24.544153539657</v>
      </c>
      <c r="L70" s="2">
        <v>16.362769026438</v>
      </c>
      <c r="M70">
        <v>45</v>
      </c>
      <c r="O70">
        <f t="shared" si="3"/>
        <v>0.324931448862198</v>
      </c>
      <c r="P70">
        <f t="shared" si="4"/>
        <v>0.836838064514996</v>
      </c>
      <c r="Q70">
        <f t="shared" si="5"/>
        <v>2.57542957890141</v>
      </c>
    </row>
    <row r="71" spans="1:17">
      <c r="A71" s="2">
        <v>16.6139717734228</v>
      </c>
      <c r="B71" s="2">
        <v>63.4606975711072</v>
      </c>
      <c r="C71" s="2">
        <v>26.4032532130221</v>
      </c>
      <c r="D71" s="2">
        <v>19.8024399097665</v>
      </c>
      <c r="E71" s="2">
        <v>13.201626606511</v>
      </c>
      <c r="F71">
        <v>45</v>
      </c>
      <c r="H71" s="2">
        <v>22.0953385226259</v>
      </c>
      <c r="I71" s="2">
        <v>84.3979762839526</v>
      </c>
      <c r="J71" s="2">
        <v>33.5926886147255</v>
      </c>
      <c r="K71" s="2">
        <v>25.1945164610441</v>
      </c>
      <c r="L71" s="2">
        <v>16.7963443073628</v>
      </c>
      <c r="M71">
        <v>45</v>
      </c>
      <c r="O71">
        <f t="shared" si="3"/>
        <v>0.324931448862102</v>
      </c>
      <c r="P71">
        <f t="shared" si="4"/>
        <v>0.867150561849407</v>
      </c>
      <c r="Q71">
        <f t="shared" si="5"/>
        <v>2.66871847857797</v>
      </c>
    </row>
    <row r="72" spans="1:17">
      <c r="A72" s="2">
        <v>16.8582948877379</v>
      </c>
      <c r="B72" s="2">
        <v>64.3939431236235</v>
      </c>
      <c r="C72" s="2">
        <v>26.8899660391102</v>
      </c>
      <c r="D72" s="2">
        <v>20.1674745293327</v>
      </c>
      <c r="E72" s="2">
        <v>13.4449830195551</v>
      </c>
      <c r="F72">
        <v>45</v>
      </c>
      <c r="H72" s="2">
        <v>22.4202699714881</v>
      </c>
      <c r="I72" s="2">
        <v>85.6391229940107</v>
      </c>
      <c r="J72" s="2">
        <v>34.5041723372386</v>
      </c>
      <c r="K72" s="2">
        <v>25.8781292529289</v>
      </c>
      <c r="L72" s="2">
        <v>17.2520861686193</v>
      </c>
      <c r="M72">
        <v>45</v>
      </c>
      <c r="O72">
        <f t="shared" si="3"/>
        <v>0.324931448862198</v>
      </c>
      <c r="P72">
        <f t="shared" si="4"/>
        <v>0.911483722513097</v>
      </c>
      <c r="Q72">
        <f t="shared" si="5"/>
        <v>2.80515698220289</v>
      </c>
    </row>
    <row r="73" spans="1:17">
      <c r="A73" s="2">
        <v>17.1026180020529</v>
      </c>
      <c r="B73" s="2">
        <v>65.3271886761398</v>
      </c>
      <c r="C73" s="2">
        <v>27.3797979959668</v>
      </c>
      <c r="D73" s="2">
        <v>20.5348484969751</v>
      </c>
      <c r="E73" s="2">
        <v>13.6898989979834</v>
      </c>
      <c r="F73">
        <v>45</v>
      </c>
      <c r="H73" s="2">
        <v>22.7452014203502</v>
      </c>
      <c r="I73" s="2">
        <v>86.8802697040688</v>
      </c>
      <c r="J73" s="2">
        <v>35.452574204882</v>
      </c>
      <c r="K73" s="2">
        <v>26.5894306536615</v>
      </c>
      <c r="L73" s="2">
        <v>17.726287102441</v>
      </c>
      <c r="M73">
        <v>45</v>
      </c>
      <c r="O73">
        <f t="shared" si="3"/>
        <v>0.324931448862099</v>
      </c>
      <c r="P73">
        <f t="shared" si="4"/>
        <v>0.948401867643398</v>
      </c>
      <c r="Q73">
        <f t="shared" si="5"/>
        <v>2.9187752400227</v>
      </c>
    </row>
    <row r="74" spans="1:17">
      <c r="A74" s="2">
        <v>17.346941116368</v>
      </c>
      <c r="B74" s="2">
        <v>66.260434228656</v>
      </c>
      <c r="C74" s="2">
        <v>27.8722977491152</v>
      </c>
      <c r="D74" s="2">
        <v>20.9042233118364</v>
      </c>
      <c r="E74" s="2">
        <v>13.9361488745576</v>
      </c>
      <c r="F74">
        <v>45</v>
      </c>
      <c r="H74" s="2">
        <v>23.0701328692123</v>
      </c>
      <c r="I74" s="2">
        <v>88.1214164141269</v>
      </c>
      <c r="J74" s="2">
        <v>36.4424403531098</v>
      </c>
      <c r="K74" s="2">
        <v>27.3318302648323</v>
      </c>
      <c r="L74" s="2">
        <v>18.2212201765549</v>
      </c>
      <c r="M74">
        <v>45</v>
      </c>
      <c r="O74">
        <f t="shared" si="3"/>
        <v>0.324931448862102</v>
      </c>
      <c r="P74">
        <f t="shared" si="4"/>
        <v>0.989866148227804</v>
      </c>
      <c r="Q74">
        <f t="shared" si="5"/>
        <v>3.04638455801763</v>
      </c>
    </row>
    <row r="75" spans="1:17">
      <c r="A75" s="2">
        <v>17.591264230683</v>
      </c>
      <c r="B75" s="2">
        <v>67.1936797811723</v>
      </c>
      <c r="C75" s="2">
        <v>28.3672247292231</v>
      </c>
      <c r="D75" s="2">
        <v>21.2754185469173</v>
      </c>
      <c r="E75" s="2">
        <v>14.1836123646115</v>
      </c>
      <c r="F75">
        <v>45</v>
      </c>
      <c r="H75" s="2">
        <v>23.3950643180745</v>
      </c>
      <c r="I75" s="2">
        <v>89.3625631241851</v>
      </c>
      <c r="J75" s="2">
        <v>37.4790813806715</v>
      </c>
      <c r="K75" s="2">
        <v>28.1093110355037</v>
      </c>
      <c r="L75" s="2">
        <v>18.7395406903358</v>
      </c>
      <c r="M75">
        <v>45</v>
      </c>
      <c r="O75">
        <f t="shared" si="3"/>
        <v>0.324931448862198</v>
      </c>
      <c r="P75">
        <f t="shared" si="4"/>
        <v>1.0366410275617</v>
      </c>
      <c r="Q75">
        <f t="shared" si="5"/>
        <v>3.19033762718774</v>
      </c>
    </row>
    <row r="76" spans="1:17">
      <c r="A76" s="2">
        <v>17.835587344998</v>
      </c>
      <c r="B76" s="2">
        <v>68.1269253336886</v>
      </c>
      <c r="C76" s="2">
        <v>28.8637099541179</v>
      </c>
      <c r="D76" s="2">
        <v>21.6477824655885</v>
      </c>
      <c r="E76" s="2">
        <v>14.431854977059</v>
      </c>
      <c r="F76">
        <v>45</v>
      </c>
      <c r="H76" s="2">
        <v>23.7199957669366</v>
      </c>
      <c r="I76" s="2">
        <v>90.6037098342432</v>
      </c>
      <c r="J76" s="2">
        <v>38.5685714195188</v>
      </c>
      <c r="K76" s="2">
        <v>28.9264285646391</v>
      </c>
      <c r="L76" s="2">
        <v>19.2842857097594</v>
      </c>
      <c r="M76">
        <v>45</v>
      </c>
      <c r="O76">
        <f t="shared" si="3"/>
        <v>0.324931448862099</v>
      </c>
      <c r="P76">
        <f t="shared" si="4"/>
        <v>1.08949003884729</v>
      </c>
      <c r="Q76">
        <f t="shared" si="5"/>
        <v>3.35298427610704</v>
      </c>
    </row>
    <row r="77" spans="1:17">
      <c r="A77" s="2">
        <v>18.0799104593131</v>
      </c>
      <c r="B77" s="2">
        <v>69.0601708862049</v>
      </c>
      <c r="C77" s="2">
        <v>29.3611801339009</v>
      </c>
      <c r="D77" s="2">
        <v>22.0208851004256</v>
      </c>
      <c r="E77" s="2">
        <v>14.6805900669504</v>
      </c>
      <c r="F77">
        <v>45</v>
      </c>
      <c r="H77" s="2">
        <v>24.0449272157988</v>
      </c>
      <c r="I77" s="2">
        <v>91.8448565443013</v>
      </c>
      <c r="J77" s="2">
        <v>39.7178724871138</v>
      </c>
      <c r="K77" s="2">
        <v>29.7884043653354</v>
      </c>
      <c r="L77" s="2">
        <v>19.8589362435569</v>
      </c>
      <c r="M77">
        <v>45</v>
      </c>
      <c r="O77">
        <f t="shared" si="3"/>
        <v>0.324931448862202</v>
      </c>
      <c r="P77">
        <f t="shared" si="4"/>
        <v>1.149301067595</v>
      </c>
      <c r="Q77">
        <f t="shared" si="5"/>
        <v>3.53705703655174</v>
      </c>
    </row>
    <row r="78" spans="1:17">
      <c r="A78" s="2">
        <v>18.3242335736281</v>
      </c>
      <c r="B78" s="2">
        <v>69.9934164387212</v>
      </c>
      <c r="C78" s="2">
        <v>29.8590591813402</v>
      </c>
      <c r="D78" s="2">
        <v>22.3942943860052</v>
      </c>
      <c r="E78" s="2">
        <v>14.9295295906701</v>
      </c>
      <c r="F78">
        <v>45</v>
      </c>
      <c r="H78" s="2">
        <v>24.3698586646609</v>
      </c>
      <c r="I78" s="2">
        <v>93.0860032543594</v>
      </c>
      <c r="J78" s="2">
        <v>40.9349227597799</v>
      </c>
      <c r="K78" s="2">
        <v>30.7011920698349</v>
      </c>
      <c r="L78" s="2">
        <v>20.4674613798899</v>
      </c>
      <c r="M78">
        <v>45</v>
      </c>
      <c r="O78">
        <f t="shared" si="3"/>
        <v>0.324931448862099</v>
      </c>
      <c r="P78">
        <f t="shared" si="4"/>
        <v>1.2170502726661</v>
      </c>
      <c r="Q78">
        <f t="shared" si="5"/>
        <v>3.74556010791869</v>
      </c>
    </row>
    <row r="79" spans="1:17">
      <c r="A79" s="2">
        <v>18.5685566879432</v>
      </c>
      <c r="B79" s="2">
        <v>70.9266619912374</v>
      </c>
      <c r="C79" s="2">
        <v>30.356667752204</v>
      </c>
      <c r="D79" s="2">
        <v>22.767500814153</v>
      </c>
      <c r="E79" s="2">
        <v>15.178333876102</v>
      </c>
      <c r="F79">
        <v>45</v>
      </c>
      <c r="H79" s="2">
        <v>24.6947901135231</v>
      </c>
      <c r="I79" s="2">
        <v>94.3271499644176</v>
      </c>
      <c r="J79" s="2">
        <v>42.2286582597043</v>
      </c>
      <c r="K79" s="2">
        <v>31.6714936947782</v>
      </c>
      <c r="L79" s="2">
        <v>21.1143291298521</v>
      </c>
      <c r="M79">
        <v>45</v>
      </c>
      <c r="O79">
        <f t="shared" si="3"/>
        <v>0.324931448862202</v>
      </c>
      <c r="P79">
        <f t="shared" si="4"/>
        <v>1.2937354999244</v>
      </c>
      <c r="Q79">
        <f t="shared" si="5"/>
        <v>3.98156443291227</v>
      </c>
    </row>
    <row r="80" spans="1:17">
      <c r="A80" s="2">
        <v>18.8128798022582</v>
      </c>
      <c r="B80" s="2">
        <v>71.8599075437537</v>
      </c>
      <c r="C80" s="2">
        <v>30.8532605578452</v>
      </c>
      <c r="D80" s="2">
        <v>23.1399454183839</v>
      </c>
      <c r="E80" s="2">
        <v>15.4266302789226</v>
      </c>
      <c r="F80">
        <v>45</v>
      </c>
      <c r="H80" s="2">
        <v>25.0197215623852</v>
      </c>
      <c r="I80" s="2">
        <v>95.5682966744757</v>
      </c>
      <c r="J80" s="2">
        <v>43.6100495526859</v>
      </c>
      <c r="K80" s="2">
        <v>32.7075371645145</v>
      </c>
      <c r="L80" s="2">
        <v>21.805024776343</v>
      </c>
      <c r="M80">
        <v>45</v>
      </c>
      <c r="O80">
        <f t="shared" si="3"/>
        <v>0.324931448862099</v>
      </c>
      <c r="P80">
        <f t="shared" si="4"/>
        <v>1.3813912929816</v>
      </c>
      <c r="Q80">
        <f t="shared" si="5"/>
        <v>4.25133146643453</v>
      </c>
    </row>
    <row r="81" spans="1:17">
      <c r="A81" s="2">
        <v>19.0572029165732</v>
      </c>
      <c r="B81" s="2">
        <v>72.79315309627</v>
      </c>
      <c r="C81" s="2">
        <v>31.3482022453064</v>
      </c>
      <c r="D81" s="2">
        <v>23.5111516839798</v>
      </c>
      <c r="E81" s="2">
        <v>15.6741011226532</v>
      </c>
      <c r="F81">
        <v>45</v>
      </c>
      <c r="H81" s="2">
        <v>25.3446530112474</v>
      </c>
      <c r="I81" s="2">
        <v>96.8094433845338</v>
      </c>
      <c r="J81" s="2">
        <v>45.1089434732368</v>
      </c>
      <c r="K81" s="2">
        <v>33.8317076049276</v>
      </c>
      <c r="L81" s="2">
        <v>22.5544717366184</v>
      </c>
      <c r="M81">
        <v>45</v>
      </c>
      <c r="O81">
        <f t="shared" si="3"/>
        <v>0.324931448862198</v>
      </c>
      <c r="P81">
        <f t="shared" si="4"/>
        <v>1.4988939205509</v>
      </c>
      <c r="Q81">
        <f t="shared" si="5"/>
        <v>4.61295428866466</v>
      </c>
    </row>
    <row r="82" spans="1:17">
      <c r="A82" s="2">
        <v>19.3015260308883</v>
      </c>
      <c r="B82" s="2">
        <v>73.7263986487863</v>
      </c>
      <c r="C82" s="2">
        <v>31.8408147818555</v>
      </c>
      <c r="D82" s="2">
        <v>23.8806110863916</v>
      </c>
      <c r="E82" s="2">
        <v>15.9204073909277</v>
      </c>
      <c r="F82">
        <v>45</v>
      </c>
      <c r="H82" s="2">
        <v>25.6695844601095</v>
      </c>
      <c r="I82" s="2">
        <v>98.050590094592</v>
      </c>
      <c r="J82" s="2">
        <v>46.7220880399014</v>
      </c>
      <c r="K82" s="2">
        <v>35.041566029926</v>
      </c>
      <c r="L82" s="2">
        <v>23.3610440199507</v>
      </c>
      <c r="M82">
        <v>45</v>
      </c>
      <c r="O82">
        <f t="shared" si="3"/>
        <v>0.324931448862102</v>
      </c>
      <c r="P82">
        <f t="shared" si="4"/>
        <v>1.6131445666646</v>
      </c>
      <c r="Q82">
        <f t="shared" si="5"/>
        <v>4.96456890311409</v>
      </c>
    </row>
    <row r="83" spans="1:17">
      <c r="A83" s="2">
        <v>19.5458491452033</v>
      </c>
      <c r="B83" s="2">
        <v>74.6596442013026</v>
      </c>
      <c r="C83" s="2">
        <v>32.3303514561225</v>
      </c>
      <c r="D83" s="2">
        <v>24.2477635920919</v>
      </c>
      <c r="E83" s="2">
        <v>16.1651757280613</v>
      </c>
      <c r="F83">
        <v>45</v>
      </c>
      <c r="H83" s="2">
        <v>25.9945159089717</v>
      </c>
      <c r="I83" s="2">
        <v>99.2917368046501</v>
      </c>
      <c r="J83" s="2">
        <v>48.4844214291339</v>
      </c>
      <c r="K83" s="2">
        <v>36.3633160718504</v>
      </c>
      <c r="L83" s="2">
        <v>24.2422107145669</v>
      </c>
      <c r="M83">
        <v>45</v>
      </c>
      <c r="O83">
        <f t="shared" si="3"/>
        <v>0.324931448862198</v>
      </c>
      <c r="P83">
        <f t="shared" si="4"/>
        <v>1.7623333892325</v>
      </c>
      <c r="Q83">
        <f t="shared" si="5"/>
        <v>5.42370827878805</v>
      </c>
    </row>
    <row r="84" spans="1:17">
      <c r="A84" s="2">
        <v>19.7901722595184</v>
      </c>
      <c r="B84" s="2">
        <v>75.5928897538189</v>
      </c>
      <c r="C84" s="2">
        <v>32.8155353165948</v>
      </c>
      <c r="D84" s="2">
        <v>24.6116514874461</v>
      </c>
      <c r="E84" s="2">
        <v>16.4077676582974</v>
      </c>
      <c r="F84">
        <v>45</v>
      </c>
      <c r="H84" s="2">
        <v>26.3194473578338</v>
      </c>
      <c r="I84" s="2">
        <v>100.532883514708</v>
      </c>
      <c r="J84" s="2">
        <v>50.4062913381076</v>
      </c>
      <c r="K84" s="2">
        <v>37.8047185035807</v>
      </c>
      <c r="L84" s="2">
        <v>25.2031456690538</v>
      </c>
      <c r="M84">
        <v>45</v>
      </c>
      <c r="O84">
        <f t="shared" si="3"/>
        <v>0.324931448862099</v>
      </c>
      <c r="P84">
        <f t="shared" si="4"/>
        <v>1.9218699089737</v>
      </c>
      <c r="Q84">
        <f t="shared" si="5"/>
        <v>5.91469343981333</v>
      </c>
    </row>
    <row r="85" spans="1:17">
      <c r="A85" s="2">
        <v>20.0344953738334</v>
      </c>
      <c r="B85" s="2">
        <v>76.5261353063351</v>
      </c>
      <c r="C85" s="2">
        <v>33.2960646656415</v>
      </c>
      <c r="D85" s="2">
        <v>24.9720484992311</v>
      </c>
      <c r="E85" s="2">
        <v>16.6480323328208</v>
      </c>
      <c r="F85">
        <v>45</v>
      </c>
      <c r="H85" s="2">
        <v>26.644378806696</v>
      </c>
      <c r="I85" s="2">
        <v>101.774030224766</v>
      </c>
      <c r="J85" s="2">
        <v>52.5176363625796</v>
      </c>
      <c r="K85" s="2">
        <v>39.3882272719347</v>
      </c>
      <c r="L85" s="2">
        <v>26.2588181812898</v>
      </c>
      <c r="M85">
        <v>45</v>
      </c>
      <c r="O85">
        <f t="shared" si="3"/>
        <v>0.324931448862202</v>
      </c>
      <c r="P85">
        <f t="shared" si="4"/>
        <v>2.111345024472</v>
      </c>
      <c r="Q85">
        <f t="shared" si="5"/>
        <v>6.49781679140386</v>
      </c>
    </row>
    <row r="86" spans="1:17">
      <c r="A86" s="2">
        <v>20.2788184881485</v>
      </c>
      <c r="B86" s="2">
        <v>77.4593808588514</v>
      </c>
      <c r="C86" s="2">
        <v>33.7711880034168</v>
      </c>
      <c r="D86" s="2">
        <v>25.3283910025626</v>
      </c>
      <c r="E86" s="2">
        <v>16.8855940017084</v>
      </c>
      <c r="F86">
        <v>45</v>
      </c>
      <c r="H86" s="2">
        <v>26.9693102555581</v>
      </c>
      <c r="I86" s="2">
        <v>103.015176934824</v>
      </c>
      <c r="J86" s="2">
        <v>54.8389256592267</v>
      </c>
      <c r="K86" s="2">
        <v>41.12919424442</v>
      </c>
      <c r="L86" s="2">
        <v>27.4194628296133</v>
      </c>
      <c r="M86">
        <v>45</v>
      </c>
      <c r="O86">
        <f t="shared" si="3"/>
        <v>0.324931448862099</v>
      </c>
      <c r="P86">
        <f t="shared" si="4"/>
        <v>2.3212892966471</v>
      </c>
      <c r="Q86">
        <f t="shared" si="5"/>
        <v>7.14393545092725</v>
      </c>
    </row>
    <row r="87" spans="1:17">
      <c r="A87" s="2">
        <v>20.5231416024635</v>
      </c>
      <c r="B87" s="2">
        <v>78.3926264113677</v>
      </c>
      <c r="C87" s="2">
        <v>34.2401383155113</v>
      </c>
      <c r="D87" s="2">
        <v>25.6801037366335</v>
      </c>
      <c r="E87" s="2">
        <v>17.1200691577557</v>
      </c>
      <c r="F87">
        <v>45</v>
      </c>
      <c r="H87" s="2">
        <v>27.2942417044202</v>
      </c>
      <c r="I87" s="2">
        <v>104.256323644883</v>
      </c>
      <c r="J87" s="2">
        <v>57.3767892523691</v>
      </c>
      <c r="K87" s="2">
        <v>43.0325919392769</v>
      </c>
      <c r="L87" s="2">
        <v>28.6883946261846</v>
      </c>
      <c r="M87">
        <v>45</v>
      </c>
      <c r="O87">
        <f t="shared" si="3"/>
        <v>0.324931448862102</v>
      </c>
      <c r="P87">
        <f t="shared" si="4"/>
        <v>2.5378635931424</v>
      </c>
      <c r="Q87">
        <f t="shared" si="5"/>
        <v>7.81045848910562</v>
      </c>
    </row>
    <row r="88" spans="1:17">
      <c r="A88" s="2">
        <v>20.7674647167785</v>
      </c>
      <c r="B88" s="2">
        <v>79.325871963884</v>
      </c>
      <c r="C88" s="2">
        <v>34.7021339418542</v>
      </c>
      <c r="D88" s="2">
        <v>26.0266004563906</v>
      </c>
      <c r="E88" s="2">
        <v>17.3510669709271</v>
      </c>
      <c r="F88">
        <v>45</v>
      </c>
      <c r="H88" s="2">
        <v>27.6191731532824</v>
      </c>
      <c r="I88" s="2">
        <v>105.497470354941</v>
      </c>
      <c r="J88" s="2">
        <v>60.1229541340033</v>
      </c>
      <c r="K88" s="2">
        <v>45.0922156005025</v>
      </c>
      <c r="L88" s="2">
        <v>30.0614770670017</v>
      </c>
      <c r="M88">
        <v>45</v>
      </c>
      <c r="O88">
        <f t="shared" si="3"/>
        <v>0.324931448862198</v>
      </c>
      <c r="P88">
        <f t="shared" si="4"/>
        <v>2.7461648816342</v>
      </c>
      <c r="Q88">
        <f t="shared" si="5"/>
        <v>8.45152074768495</v>
      </c>
    </row>
    <row r="89" spans="1:17">
      <c r="A89" s="2">
        <v>21.0117878310936</v>
      </c>
      <c r="B89" s="2">
        <v>80.2591175164003</v>
      </c>
      <c r="C89" s="2">
        <v>35.1562960827864</v>
      </c>
      <c r="D89" s="2">
        <v>26.3672220620898</v>
      </c>
      <c r="E89" s="2">
        <v>17.5781480413932</v>
      </c>
      <c r="F89">
        <v>45</v>
      </c>
      <c r="H89" s="2">
        <v>27.9441046021445</v>
      </c>
      <c r="I89" s="2">
        <v>106.738617064999</v>
      </c>
      <c r="J89" s="2">
        <v>63.0684092655997</v>
      </c>
      <c r="K89" s="2">
        <v>47.3013069491998</v>
      </c>
      <c r="L89" s="2">
        <v>31.5342046327999</v>
      </c>
      <c r="M89">
        <v>45</v>
      </c>
      <c r="O89">
        <f t="shared" si="3"/>
        <v>0.324931448862099</v>
      </c>
      <c r="P89">
        <f t="shared" si="4"/>
        <v>2.9454551315964</v>
      </c>
      <c r="Q89">
        <f t="shared" si="5"/>
        <v>9.06485088442901</v>
      </c>
    </row>
    <row r="90" spans="1:17">
      <c r="A90" s="2">
        <v>21.2561109454086</v>
      </c>
      <c r="B90" s="2">
        <v>81.1923630689166</v>
      </c>
      <c r="C90" s="2">
        <v>35.6011734333267</v>
      </c>
      <c r="D90" s="2">
        <v>26.7008800749951</v>
      </c>
      <c r="E90" s="2">
        <v>17.8005867166634</v>
      </c>
      <c r="F90">
        <v>45</v>
      </c>
      <c r="H90" s="2">
        <v>28.2690360510067</v>
      </c>
      <c r="I90" s="2">
        <v>107.979763775057</v>
      </c>
      <c r="J90" s="2">
        <v>66.173952772314</v>
      </c>
      <c r="K90" s="2">
        <v>49.6304645792355</v>
      </c>
      <c r="L90" s="2">
        <v>33.086976386157</v>
      </c>
      <c r="M90">
        <v>45</v>
      </c>
      <c r="O90">
        <f t="shared" si="3"/>
        <v>0.324931448862202</v>
      </c>
      <c r="P90">
        <f t="shared" si="4"/>
        <v>3.1055435067143</v>
      </c>
      <c r="Q90">
        <f t="shared" si="5"/>
        <v>9.55753442022569</v>
      </c>
    </row>
    <row r="91" spans="1:17">
      <c r="A91" s="2">
        <v>21.5004340597237</v>
      </c>
      <c r="B91" s="2">
        <v>82.1256086214328</v>
      </c>
      <c r="C91" s="2">
        <v>36.0366837720236</v>
      </c>
      <c r="D91" s="2">
        <v>27.0275128290177</v>
      </c>
      <c r="E91" s="2">
        <v>18.0183418860118</v>
      </c>
      <c r="F91">
        <v>45</v>
      </c>
      <c r="H91" s="2">
        <v>28.5939674998688</v>
      </c>
      <c r="I91" s="2">
        <v>109.220910485115</v>
      </c>
      <c r="J91" s="2">
        <v>69.3989807349214</v>
      </c>
      <c r="K91" s="2">
        <v>52.0492355511911</v>
      </c>
      <c r="L91" s="2">
        <v>34.6994903674607</v>
      </c>
      <c r="M91">
        <v>45</v>
      </c>
      <c r="O91">
        <f t="shared" si="3"/>
        <v>0.324931448862099</v>
      </c>
      <c r="P91">
        <f t="shared" si="4"/>
        <v>3.2250279626074</v>
      </c>
      <c r="Q91">
        <f t="shared" si="5"/>
        <v>9.92525646225184</v>
      </c>
    </row>
    <row r="92" spans="1:17">
      <c r="A92" s="2">
        <v>21.7447571740387</v>
      </c>
      <c r="B92" s="2">
        <v>83.0588541739491</v>
      </c>
      <c r="C92" s="2">
        <v>36.4620563096911</v>
      </c>
      <c r="D92" s="2">
        <v>27.3465422322683</v>
      </c>
      <c r="E92" s="2">
        <v>18.2310281548456</v>
      </c>
      <c r="F92">
        <v>45</v>
      </c>
      <c r="H92" s="2">
        <v>28.918898948731</v>
      </c>
      <c r="I92" s="2">
        <v>110.462057195173</v>
      </c>
      <c r="J92" s="2">
        <v>72.6978792890406</v>
      </c>
      <c r="K92" s="2">
        <v>54.5234094667804</v>
      </c>
      <c r="L92" s="2">
        <v>36.3489396445203</v>
      </c>
      <c r="M92">
        <v>45</v>
      </c>
      <c r="O92">
        <f t="shared" si="3"/>
        <v>0.324931448862202</v>
      </c>
      <c r="P92">
        <f t="shared" si="4"/>
        <v>3.2988985541192</v>
      </c>
      <c r="Q92">
        <f t="shared" si="5"/>
        <v>10.1525985424643</v>
      </c>
    </row>
    <row r="93" spans="1:17">
      <c r="A93" s="2">
        <v>21.9890802883537</v>
      </c>
      <c r="B93" s="2">
        <v>83.9920997264654</v>
      </c>
      <c r="C93" s="2">
        <v>36.8765330995515</v>
      </c>
      <c r="D93" s="2">
        <v>27.6573998246636</v>
      </c>
      <c r="E93" s="2">
        <v>18.4382665497758</v>
      </c>
      <c r="F93">
        <v>45</v>
      </c>
      <c r="H93" s="2">
        <v>29.2438303975931</v>
      </c>
      <c r="I93" s="2">
        <v>111.703203905231</v>
      </c>
      <c r="J93" s="2">
        <v>76.0311114862732</v>
      </c>
      <c r="K93" s="2">
        <v>57.0233336147049</v>
      </c>
      <c r="L93" s="2">
        <v>38.0155557431366</v>
      </c>
      <c r="M93">
        <v>45</v>
      </c>
      <c r="O93">
        <f t="shared" si="3"/>
        <v>0.324931448862099</v>
      </c>
      <c r="P93">
        <f t="shared" si="4"/>
        <v>3.3332321972326</v>
      </c>
      <c r="Q93">
        <f t="shared" si="5"/>
        <v>10.2582628086801</v>
      </c>
    </row>
    <row r="94" spans="1:17">
      <c r="A94" s="2">
        <v>22.2334034026688</v>
      </c>
      <c r="B94" s="2">
        <v>84.9253452789817</v>
      </c>
      <c r="C94" s="2">
        <v>37.2793818122605</v>
      </c>
      <c r="D94" s="2">
        <v>27.9595363591954</v>
      </c>
      <c r="E94" s="2">
        <v>18.6396909061302</v>
      </c>
      <c r="F94">
        <v>45</v>
      </c>
      <c r="H94" s="2">
        <v>29.5687618464553</v>
      </c>
      <c r="I94" s="2">
        <v>112.944350615289</v>
      </c>
      <c r="J94" s="2">
        <v>79.3726937620442</v>
      </c>
      <c r="K94" s="2">
        <v>59.5295203215332</v>
      </c>
      <c r="L94" s="2">
        <v>39.6863468810221</v>
      </c>
      <c r="M94">
        <v>45</v>
      </c>
      <c r="O94">
        <f t="shared" si="3"/>
        <v>0.324931448862198</v>
      </c>
      <c r="P94">
        <f t="shared" si="4"/>
        <v>3.34158227577099</v>
      </c>
      <c r="Q94">
        <f t="shared" si="5"/>
        <v>10.2839607784106</v>
      </c>
    </row>
    <row r="95" spans="1:17">
      <c r="A95" s="2">
        <v>22.4777265169838</v>
      </c>
      <c r="B95" s="2">
        <v>85.858590831498</v>
      </c>
      <c r="C95" s="2">
        <v>37.6699159011489</v>
      </c>
      <c r="D95" s="2">
        <v>28.2524369258617</v>
      </c>
      <c r="E95" s="2">
        <v>18.8349579505745</v>
      </c>
      <c r="F95">
        <v>45</v>
      </c>
      <c r="H95" s="2">
        <v>29.8936932953174</v>
      </c>
      <c r="I95" s="2">
        <v>114.185497325348</v>
      </c>
      <c r="J95" s="2">
        <v>82.7096138390689</v>
      </c>
      <c r="K95" s="2">
        <v>62.0322103793017</v>
      </c>
      <c r="L95" s="2">
        <v>41.3548069195345</v>
      </c>
      <c r="M95">
        <v>45</v>
      </c>
      <c r="O95">
        <f t="shared" si="3"/>
        <v>0.324931448862102</v>
      </c>
      <c r="P95">
        <f t="shared" si="4"/>
        <v>3.3369200770247</v>
      </c>
      <c r="Q95">
        <f t="shared" si="5"/>
        <v>10.269612525074</v>
      </c>
    </row>
    <row r="96" spans="1:19">
      <c r="A96" s="2">
        <v>22.7220496312989</v>
      </c>
      <c r="B96" s="2">
        <v>86.7918363840142</v>
      </c>
      <c r="C96" s="2">
        <v>38.0475273096277</v>
      </c>
      <c r="D96" s="2">
        <v>28.5356454822207</v>
      </c>
      <c r="E96" s="2">
        <v>19.0237636548138</v>
      </c>
      <c r="F96">
        <v>45</v>
      </c>
      <c r="H96" s="2">
        <v>30.2186247441796</v>
      </c>
      <c r="I96" s="2">
        <v>115.426644035406</v>
      </c>
      <c r="J96" s="2">
        <v>86.0322851534389</v>
      </c>
      <c r="K96" s="2">
        <v>64.5242138650792</v>
      </c>
      <c r="L96" s="2">
        <v>43.0161425767194</v>
      </c>
      <c r="M96">
        <v>45</v>
      </c>
      <c r="O96">
        <f t="shared" si="3"/>
        <v>0.324931448862198</v>
      </c>
      <c r="P96">
        <f t="shared" si="4"/>
        <v>3.32267131437001</v>
      </c>
      <c r="Q96">
        <f t="shared" si="5"/>
        <v>10.2257609289741</v>
      </c>
      <c r="S96" s="4" t="s">
        <v>79</v>
      </c>
    </row>
    <row r="97" spans="1:19">
      <c r="A97" s="2">
        <v>22.9663727456139</v>
      </c>
      <c r="B97" s="2">
        <v>87.7250819365305</v>
      </c>
      <c r="C97" s="2">
        <v>38.4117411867811</v>
      </c>
      <c r="D97" s="2">
        <v>28.8088058900858</v>
      </c>
      <c r="E97" s="2">
        <v>19.2058705933906</v>
      </c>
      <c r="F97">
        <v>45</v>
      </c>
      <c r="H97" s="2">
        <v>30.5435561930417</v>
      </c>
      <c r="I97" s="2">
        <v>116.667790745464</v>
      </c>
      <c r="J97" s="2">
        <v>89.326636692799</v>
      </c>
      <c r="K97" s="2">
        <v>66.9949775195993</v>
      </c>
      <c r="L97" s="2">
        <v>44.6633183463995</v>
      </c>
      <c r="M97">
        <v>45</v>
      </c>
      <c r="O97">
        <f t="shared" si="3"/>
        <v>0.324931448862099</v>
      </c>
      <c r="P97">
        <f t="shared" si="4"/>
        <v>3.29435153936009</v>
      </c>
      <c r="Q97">
        <f t="shared" si="5"/>
        <v>10.1386047761669</v>
      </c>
      <c r="S97" s="2">
        <f>FORECAST(45,H3:H102,K3:K102)</f>
        <v>25.8355312005635</v>
      </c>
    </row>
    <row r="98" spans="1:17">
      <c r="A98" s="2">
        <v>23.210695859929</v>
      </c>
      <c r="B98" s="2">
        <v>88.6583274890468</v>
      </c>
      <c r="C98" s="2">
        <v>38.760912713256</v>
      </c>
      <c r="D98" s="2">
        <v>29.070684534942</v>
      </c>
      <c r="E98" s="2">
        <v>19.380456356628</v>
      </c>
      <c r="F98">
        <v>45</v>
      </c>
      <c r="H98" s="2">
        <v>30.8684876419038</v>
      </c>
      <c r="I98" s="2">
        <v>117.908937455522</v>
      </c>
      <c r="J98" s="2">
        <v>92.5745786743821</v>
      </c>
      <c r="K98" s="2">
        <v>69.4309340057865</v>
      </c>
      <c r="L98" s="2">
        <v>46.287289337191</v>
      </c>
      <c r="M98">
        <v>45</v>
      </c>
      <c r="O98">
        <f t="shared" si="3"/>
        <v>0.324931448862102</v>
      </c>
      <c r="P98">
        <f t="shared" si="4"/>
        <v>3.2479419815831</v>
      </c>
      <c r="Q98">
        <f t="shared" si="5"/>
        <v>9.9957760104701</v>
      </c>
    </row>
    <row r="99" spans="1:17">
      <c r="A99" s="2">
        <v>23.455018974244</v>
      </c>
      <c r="B99" s="2">
        <v>89.5915730415631</v>
      </c>
      <c r="C99" s="2">
        <v>39.0933776200283</v>
      </c>
      <c r="D99" s="2">
        <v>29.3200332150212</v>
      </c>
      <c r="E99" s="2">
        <v>19.5466888100141</v>
      </c>
      <c r="F99">
        <v>45</v>
      </c>
      <c r="H99" s="2">
        <v>31.193419090766</v>
      </c>
      <c r="I99" s="2">
        <v>119.15008416558</v>
      </c>
      <c r="J99" s="2">
        <v>95.7563635988655</v>
      </c>
      <c r="K99" s="2">
        <v>71.8172726991491</v>
      </c>
      <c r="L99" s="2">
        <v>47.8781817994328</v>
      </c>
      <c r="M99">
        <v>45</v>
      </c>
      <c r="O99">
        <f t="shared" si="3"/>
        <v>0.324931448862198</v>
      </c>
      <c r="P99">
        <f t="shared" si="4"/>
        <v>3.18178492448341</v>
      </c>
      <c r="Q99">
        <f t="shared" si="5"/>
        <v>9.79217288946625</v>
      </c>
    </row>
    <row r="100" spans="1:17">
      <c r="A100" s="2">
        <v>23.699342088559</v>
      </c>
      <c r="B100" s="2">
        <v>90.5248185940794</v>
      </c>
      <c r="C100" s="2">
        <v>39.4102540032124</v>
      </c>
      <c r="D100" s="2">
        <v>29.5576905024093</v>
      </c>
      <c r="E100" s="2">
        <v>19.7051270016062</v>
      </c>
      <c r="F100">
        <v>45</v>
      </c>
      <c r="H100" s="2">
        <v>31.5183505396281</v>
      </c>
      <c r="I100" s="2">
        <v>120.391230875638</v>
      </c>
      <c r="J100" s="2">
        <v>98.8507897170914</v>
      </c>
      <c r="K100" s="2">
        <v>74.1380922878185</v>
      </c>
      <c r="L100" s="2">
        <v>49.4253948585457</v>
      </c>
      <c r="M100">
        <v>45</v>
      </c>
      <c r="O100">
        <f t="shared" si="3"/>
        <v>0.324931448862099</v>
      </c>
      <c r="P100">
        <f t="shared" si="4"/>
        <v>3.0944261182259</v>
      </c>
      <c r="Q100">
        <f t="shared" si="5"/>
        <v>9.52331985427232</v>
      </c>
    </row>
    <row r="101" spans="1:17">
      <c r="A101" s="2">
        <v>23.9436652028741</v>
      </c>
      <c r="B101" s="2">
        <v>91.4580641465957</v>
      </c>
      <c r="C101" s="2">
        <v>39.7119371847584</v>
      </c>
      <c r="D101" s="2">
        <v>29.7839528885688</v>
      </c>
      <c r="E101" s="2">
        <v>19.8559685923792</v>
      </c>
      <c r="F101">
        <v>45</v>
      </c>
      <c r="H101" s="2">
        <v>31.8432819884903</v>
      </c>
      <c r="I101" s="2">
        <v>121.632377585696</v>
      </c>
      <c r="J101" s="2">
        <v>101.838588133012</v>
      </c>
      <c r="K101" s="2">
        <v>76.3789410997593</v>
      </c>
      <c r="L101" s="2">
        <v>50.9192940665062</v>
      </c>
      <c r="M101">
        <v>45</v>
      </c>
      <c r="O101">
        <f t="shared" si="3"/>
        <v>0.324931448862202</v>
      </c>
      <c r="P101">
        <f t="shared" si="4"/>
        <v>2.98779841592059</v>
      </c>
      <c r="Q101">
        <f t="shared" si="5"/>
        <v>9.19516539991077</v>
      </c>
    </row>
    <row r="102" spans="1:17">
      <c r="A102" s="2">
        <v>24.1879883171891</v>
      </c>
      <c r="B102" s="2">
        <v>92.3913096991119</v>
      </c>
      <c r="C102" s="2">
        <v>40</v>
      </c>
      <c r="D102" s="2">
        <v>30</v>
      </c>
      <c r="E102" s="2">
        <v>20</v>
      </c>
      <c r="F102">
        <v>45</v>
      </c>
      <c r="H102" s="2">
        <v>32.1682134373524</v>
      </c>
      <c r="I102" s="2">
        <v>122.873524295754</v>
      </c>
      <c r="J102" s="2">
        <v>104.701011139129</v>
      </c>
      <c r="K102" s="2">
        <v>78.5257583543468</v>
      </c>
      <c r="L102" s="2">
        <v>52.3505055695645</v>
      </c>
      <c r="M102">
        <v>45</v>
      </c>
      <c r="O102">
        <f t="shared" si="3"/>
        <v>0.324931448862099</v>
      </c>
      <c r="P102">
        <f t="shared" si="4"/>
        <v>2.862423006117</v>
      </c>
      <c r="Q102">
        <f t="shared" si="5"/>
        <v>8.80931352179398</v>
      </c>
    </row>
  </sheetData>
  <mergeCells count="2">
    <mergeCell ref="A1:E1"/>
    <mergeCell ref="H1:L1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LibreOffice/7.3.0.3$Windows_X86_64 LibreOffice_project/0f246aa12d0eee4a0f7adcefbf7c878fc2238db3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Linkage data</vt:lpstr>
      <vt:lpstr>Index finger optimization</vt:lpstr>
      <vt:lpstr>MIddle finger optimization</vt:lpstr>
      <vt:lpstr>Little finger optimization</vt:lpstr>
      <vt:lpstr>Index finger results</vt:lpstr>
      <vt:lpstr>Middle finger results</vt:lpstr>
      <vt:lpstr>Little finger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nilab</dc:creator>
  <cp:lastModifiedBy>nilab</cp:lastModifiedBy>
  <cp:revision>1</cp:revision>
  <dcterms:created xsi:type="dcterms:W3CDTF">2022-03-23T13:34:00Z</dcterms:created>
  <dcterms:modified xsi:type="dcterms:W3CDTF">2022-04-09T08:57:57Z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08B9BEEF58BD40A59F30209F3FADBAE2</vt:lpwstr>
  </property>
  <property fmtid="{D5CDD505-2E9C-101B-9397-08002B2CF9AE}" pid="3" name="KSOProductBuildVer">
    <vt:lpwstr>1033-11.2.0.11042</vt:lpwstr>
  </property>
</Properties>
</file>