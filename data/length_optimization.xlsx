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848" windowHeight="9012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<sst xmlns="http://schemas.openxmlformats.org/spreadsheetml/2006/main" count="12" uniqueCount="12">
  <si>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incre</t>
  </si>
  <si>
    <t>l01</t>
  </si>
  <si>
    <t>l12</t>
  </si>
  <si>
    <t>incre2</t>
  </si>
  <si>
    <t>l56</t>
  </si>
  <si>
    <t>l67</t>
  </si>
  <si>
    <t>l68</t>
  </si>
  <si>
    <t>theta1_max</t>
  </si>
  <si>
    <t>theta0_min</t>
  </si>
  <si>
    <t>theta0_max</t>
  </si>
  <si>
    <t>theta0 range</t>
  </si>
  <si>
    <t>actuator displacement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</si>
</sst>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2"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177" fontId="4" fillId="0" borderId="0" applyBorder="0" applyAlignment="0" applyProtection="0"/>
    <xf numFmtId="176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9" fontId="4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11" fillId="11" borderId="6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/>
    <xf numFmtId="0" fontId="0" fillId="0" borderId="0" xfId="0" applyBorder="1"/>
    <xf numFmtId="0" fontId="0" fillId="2" borderId="1" xfId="0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G13" sqref="G13"/>
    </sheetView>
  </sheetViews>
  <sheetFormatPr defaultColWidth="11.537037037037" defaultRowHeight="13.2" outlineLevelRow="7"/>
  <cols>
    <col min="1" max="1" width="5.77777777777778" customWidth="1"/>
    <col min="2" max="3" width="4.66666666666667" customWidth="1"/>
    <col min="4" max="4" width="6.77777777777778" customWidth="1"/>
    <col min="5" max="7" width="4.66666666666667" customWidth="1"/>
    <col min="8" max="8" width="10.8888888888889" customWidth="1"/>
    <col min="9" max="9" width="10.5555555555556" customWidth="1"/>
    <col min="10" max="10" width="10.8888888888889" customWidth="1"/>
    <col min="11" max="11" width="12" customWidth="1"/>
    <col min="12" max="12" width="19.30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3.95" spans="1:12">
      <c r="A2">
        <v>0</v>
      </c>
      <c r="B2">
        <v>1.5</v>
      </c>
      <c r="C2">
        <v>2.5</v>
      </c>
      <c r="D2">
        <v>0</v>
      </c>
      <c r="E2">
        <v>3.1</v>
      </c>
      <c r="F2">
        <v>2.6</v>
      </c>
      <c r="G2">
        <v>1.9</v>
      </c>
      <c r="H2">
        <v>-61</v>
      </c>
      <c r="I2">
        <v>-139.76</v>
      </c>
      <c r="J2">
        <v>-26.6</v>
      </c>
      <c r="K2">
        <f t="shared" ref="K2:K12" si="0">J2-I2</f>
        <v>113.16</v>
      </c>
      <c r="L2" s="7">
        <f t="shared" ref="L2:L12" si="1">K2*PI()/180*B2</f>
        <v>2.96252187233518</v>
      </c>
    </row>
    <row r="3" ht="13.95" spans="1:12">
      <c r="A3" s="1">
        <v>0.1</v>
      </c>
      <c r="B3" s="1">
        <f t="shared" ref="B3:B12" si="2">B2+A3</f>
        <v>1.6</v>
      </c>
      <c r="C3" s="1">
        <f t="shared" ref="C3:C12" si="3">C2+A3</f>
        <v>2.6</v>
      </c>
      <c r="D3" s="1">
        <v>0</v>
      </c>
      <c r="E3" s="1">
        <f>E2+D3</f>
        <v>3.1</v>
      </c>
      <c r="F3" s="1">
        <f>F2+D3</f>
        <v>2.6</v>
      </c>
      <c r="G3" s="1">
        <f>G2+D3</f>
        <v>1.9</v>
      </c>
      <c r="H3" s="1">
        <v>-70</v>
      </c>
      <c r="I3" s="1">
        <v>-141.16</v>
      </c>
      <c r="J3" s="1">
        <v>-37.5</v>
      </c>
      <c r="K3" s="1">
        <f t="shared" si="0"/>
        <v>103.66</v>
      </c>
      <c r="L3" s="8">
        <f t="shared" si="1"/>
        <v>2.89473328418772</v>
      </c>
    </row>
    <row r="4" spans="1:12">
      <c r="A4">
        <v>0.2</v>
      </c>
      <c r="B4">
        <f t="shared" si="2"/>
        <v>1.8</v>
      </c>
      <c r="C4">
        <f t="shared" si="3"/>
        <v>2.8</v>
      </c>
      <c r="D4">
        <v>0</v>
      </c>
      <c r="E4">
        <f t="shared" ref="E4:E12" si="4">E3+D4</f>
        <v>3.1</v>
      </c>
      <c r="F4">
        <f t="shared" ref="F4:F12" si="5">F3+D4</f>
        <v>2.6</v>
      </c>
      <c r="G4">
        <f t="shared" ref="G4:G12" si="6">G3+D4</f>
        <v>1.9</v>
      </c>
      <c r="H4">
        <v>-70</v>
      </c>
      <c r="I4">
        <v>-142.39</v>
      </c>
      <c r="J4">
        <v>-48.72</v>
      </c>
      <c r="K4">
        <f t="shared" si="0"/>
        <v>93.67</v>
      </c>
      <c r="L4">
        <f t="shared" si="1"/>
        <v>2.94272983861756</v>
      </c>
    </row>
    <row r="5" spans="1:12">
      <c r="A5">
        <v>0.2</v>
      </c>
      <c r="B5">
        <f t="shared" si="2"/>
        <v>2</v>
      </c>
      <c r="C5">
        <f t="shared" si="3"/>
        <v>3</v>
      </c>
      <c r="D5">
        <v>0.1</v>
      </c>
      <c r="E5">
        <f t="shared" si="4"/>
        <v>3.2</v>
      </c>
      <c r="F5">
        <f t="shared" si="5"/>
        <v>2.7</v>
      </c>
      <c r="G5">
        <f t="shared" si="6"/>
        <v>2</v>
      </c>
      <c r="H5">
        <v>-84</v>
      </c>
      <c r="I5">
        <v>-138.8</v>
      </c>
      <c r="J5">
        <v>-41.5</v>
      </c>
      <c r="K5">
        <f t="shared" si="0"/>
        <v>97.3</v>
      </c>
      <c r="L5">
        <f t="shared" si="1"/>
        <v>3.39641072438097</v>
      </c>
    </row>
    <row r="6" ht="13.95" spans="1:12">
      <c r="A6">
        <v>0.3</v>
      </c>
      <c r="B6">
        <f t="shared" si="2"/>
        <v>2.3</v>
      </c>
      <c r="C6">
        <f t="shared" si="3"/>
        <v>3.3</v>
      </c>
      <c r="D6">
        <v>0.1</v>
      </c>
      <c r="E6">
        <f t="shared" si="4"/>
        <v>3.3</v>
      </c>
      <c r="F6">
        <f t="shared" si="5"/>
        <v>2.8</v>
      </c>
      <c r="G6">
        <f t="shared" si="6"/>
        <v>2.1</v>
      </c>
      <c r="H6">
        <v>-84</v>
      </c>
      <c r="I6">
        <v>-139.92</v>
      </c>
      <c r="J6">
        <v>-51.45</v>
      </c>
      <c r="K6">
        <f t="shared" si="0"/>
        <v>88.47</v>
      </c>
      <c r="L6">
        <f t="shared" si="1"/>
        <v>3.55141341525058</v>
      </c>
    </row>
    <row r="7" ht="13.95" spans="1:12">
      <c r="A7" s="2">
        <v>0.3</v>
      </c>
      <c r="B7" s="2">
        <f t="shared" si="2"/>
        <v>2.6</v>
      </c>
      <c r="C7" s="2">
        <f t="shared" si="3"/>
        <v>3.6</v>
      </c>
      <c r="D7" s="2">
        <v>0.2</v>
      </c>
      <c r="E7" s="2">
        <f t="shared" si="4"/>
        <v>3.5</v>
      </c>
      <c r="F7" s="2">
        <f t="shared" si="5"/>
        <v>3</v>
      </c>
      <c r="G7" s="2">
        <f t="shared" si="6"/>
        <v>2.3</v>
      </c>
      <c r="H7" s="3">
        <v>-107</v>
      </c>
      <c r="I7" s="2">
        <v>-135.39</v>
      </c>
      <c r="J7" s="2">
        <v>-46.03</v>
      </c>
      <c r="K7" s="2">
        <f t="shared" si="0"/>
        <v>89.36</v>
      </c>
      <c r="L7" s="2">
        <f t="shared" si="1"/>
        <v>4.05502817091354</v>
      </c>
    </row>
    <row r="8" spans="1:12">
      <c r="A8" s="4">
        <v>0.4</v>
      </c>
      <c r="B8" s="4">
        <f t="shared" si="2"/>
        <v>3</v>
      </c>
      <c r="C8" s="4">
        <f t="shared" si="3"/>
        <v>4</v>
      </c>
      <c r="D8" s="4">
        <v>0.2</v>
      </c>
      <c r="E8" s="4">
        <f t="shared" si="4"/>
        <v>3.7</v>
      </c>
      <c r="F8" s="4">
        <f t="shared" si="5"/>
        <v>3.2</v>
      </c>
      <c r="G8" s="5">
        <f t="shared" si="6"/>
        <v>2.5</v>
      </c>
      <c r="H8" s="6">
        <v>-107</v>
      </c>
      <c r="I8" s="4">
        <v>-136.44</v>
      </c>
      <c r="J8" s="4">
        <v>-54.79</v>
      </c>
      <c r="K8" s="4">
        <f t="shared" si="0"/>
        <v>81.65</v>
      </c>
      <c r="L8" s="4">
        <f t="shared" si="1"/>
        <v>4.27518400276011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LibreOffice/7.3.0.3$Windows_X86_64 LibreOffice_project/0f246aa12d0eee4a0f7adcefbf7c878fc2238db3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nilab</cp:lastModifiedBy>
  <cp:revision>1</cp:revision>
  <dcterms:created xsi:type="dcterms:W3CDTF">2022-03-22T16:51:00Z</dcterms:created>
  <dcterms:modified xsi:type="dcterms:W3CDTF">2022-03-22T12:22:02Z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7B94BF52E69E483D82BA7D093A9F48EE</vt:lpwstr>
  </property>
  <property fmtid="{D5CDD505-2E9C-101B-9397-08002B2CF9AE}" pid="3" name="KSOProductBuildVer">
    <vt:lpwstr>1033-11.2.0.11029</vt:lpwstr>
  </property>
</Properties>
</file>